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ask Tracker" sheetId="2" state="visible" r:id="rId4"/>
    <sheet name="Timeline" sheetId="3" state="visible" r:id="rId5"/>
    <sheet name="Gates" sheetId="4" state="visible" r:id="rId6"/>
    <sheet name="Interfaces" sheetId="5" state="visible" r:id="rId7"/>
    <sheet name="Decisions" sheetId="6" state="visible" r:id="rId8"/>
    <sheet name="Risks" sheetId="7" state="visible" r:id="rId9"/>
    <sheet name="Cut Order" sheetId="8" state="visible" r:id="rId10"/>
  </sheets>
  <definedNames>
    <definedName function="false" hidden="true" localSheetId="1" name="_xlnm._FilterDatabase" vbProcedure="false">'Task Tracker'!$A$1:$L$104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<sst xmlns="http://schemas.openxmlformats.org/spreadsheetml/2006/main" count="1074" uniqueCount="553">
  <si>
    <t xml:space="preserve">PPS / Elmiron Platform - Project Tracker</t>
  </si>
  <si>
    <t xml:space="preserve">16-week MVP - 3 developers - v1.0</t>
  </si>
  <si>
    <t xml:space="preserve">PROJECT START (Monday of Week 1)</t>
  </si>
  <si>
    <t xml:space="preserve">2026-08-10</t>
  </si>
  <si>
    <t xml:space="preserve">&lt;- EDIT THIS. Every date in the tracker is calculated from it.</t>
  </si>
  <si>
    <t xml:space="preserve">STATUS SUMMARY</t>
  </si>
  <si>
    <t xml:space="preserve">Total tasks</t>
  </si>
  <si>
    <t xml:space="preserve">Not Started</t>
  </si>
  <si>
    <t xml:space="preserve">In Progress</t>
  </si>
  <si>
    <t xml:space="preserve">Blocked</t>
  </si>
  <si>
    <t xml:space="preserve">Done</t>
  </si>
  <si>
    <t xml:space="preserve">READY TO START NOW</t>
  </si>
  <si>
    <t xml:space="preserve">Waiting on a dependency</t>
  </si>
  <si>
    <t xml:space="preserve">% Complete</t>
  </si>
  <si>
    <t xml:space="preserve">TASKS BY ROLE</t>
  </si>
  <si>
    <t xml:space="preserve">Backend</t>
  </si>
  <si>
    <t xml:space="preserve">Frontend</t>
  </si>
  <si>
    <t xml:space="preserve">AI/Data</t>
  </si>
  <si>
    <t xml:space="preserve">HOW TO USE THIS FILE</t>
  </si>
  <si>
    <t xml:space="preserve">Task Tracker</t>
  </si>
  <si>
    <t xml:space="preserve">The master list. Only edit the Status, Owner and Notes columns. Everything else is calculated.</t>
  </si>
  <si>
    <t xml:space="preserve">Can Start? column</t>
  </si>
  <si>
    <t xml:space="preserve">Calculated. READY means its dependency is Done. WAITING means it is not. Filter on READY to see what can begin today.</t>
  </si>
  <si>
    <t xml:space="preserve">Status dropdown</t>
  </si>
  <si>
    <t xml:space="preserve">Not Started / In Progress / Blocked / Done. Setting a task to Done releases everything that depends on it.</t>
  </si>
  <si>
    <t xml:space="preserve">Dates</t>
  </si>
  <si>
    <t xml:space="preserve">Calculated from the project start date above. Change that one cell and the whole schedule moves.</t>
  </si>
  <si>
    <t xml:space="preserve">Timeline</t>
  </si>
  <si>
    <t xml:space="preserve">Week-by-week view of who is doing what. Read-only summary.</t>
  </si>
  <si>
    <t xml:space="preserve">Gates</t>
  </si>
  <si>
    <t xml:space="preserve">Six checkpoints. Do not start the next phase until the gate passes. The reviewer runs the test - never accept a report.</t>
  </si>
  <si>
    <t xml:space="preserve">Interfaces</t>
  </si>
  <si>
    <t xml:space="preserve">Four contracts between the three roles, with due dates. Miss one and two people stall.</t>
  </si>
  <si>
    <t xml:space="preserve">Decisions</t>
  </si>
  <si>
    <t xml:space="preserve">Locked decisions and open blockers. O1 and O2 are blocking work right now.</t>
  </si>
  <si>
    <t xml:space="preserve">Risks</t>
  </si>
  <si>
    <t xml:space="preserve">Ranked. Owner named. Review weekly.</t>
  </si>
  <si>
    <t xml:space="preserve">Cut Order</t>
  </si>
  <si>
    <t xml:space="preserve">Agreed in advance. When the schedule slips, cut from the top. Never negotiate this in the moment.</t>
  </si>
  <si>
    <t xml:space="preserve">EDIT ONLY THESE</t>
  </si>
  <si>
    <t xml:space="preserve">Yellow = you edit. Everything else is a formula - overwriting it breaks the tracker.</t>
  </si>
  <si>
    <t xml:space="preserve">ID</t>
  </si>
  <si>
    <t xml:space="preserve">Week</t>
  </si>
  <si>
    <t xml:space="preserve">Phase</t>
  </si>
  <si>
    <t xml:space="preserve">Role</t>
  </si>
  <si>
    <t xml:space="preserve">Task</t>
  </si>
  <si>
    <t xml:space="preserve">Depends On</t>
  </si>
  <si>
    <t xml:space="preserve">Can Start?</t>
  </si>
  <si>
    <t xml:space="preserve">Status</t>
  </si>
  <si>
    <t xml:space="preserve">Owner</t>
  </si>
  <si>
    <t xml:space="preserve">Start</t>
  </si>
  <si>
    <t xml:space="preserve">Due</t>
  </si>
  <si>
    <t xml:space="preserve">Notes</t>
  </si>
  <si>
    <t xml:space="preserve">BE-01</t>
  </si>
  <si>
    <t xml:space="preserve">P0 Foundations</t>
  </si>
  <si>
    <t xml:space="preserve">Monorepo: Turborepo + pnpm workspaces, strict TS, lint/format</t>
  </si>
  <si>
    <t xml:space="preserve">—</t>
  </si>
  <si>
    <t xml:space="preserve">BE-02</t>
  </si>
  <si>
    <t xml:space="preserve">CI/CD: GitHub Actions - typecheck, lint, tests on every PR</t>
  </si>
  <si>
    <t xml:space="preserve">BE-03</t>
  </si>
  <si>
    <t xml:space="preserve">Two Supabase projects: Mumbai + US. Same migrations, separate data.</t>
  </si>
  <si>
    <t xml:space="preserve">Never one multi-region DB</t>
  </si>
  <si>
    <t xml:space="preserve">BE-04</t>
  </si>
  <si>
    <t xml:space="preserve">Auth + 9 roles + user_profiles table</t>
  </si>
  <si>
    <t xml:space="preserve">BE-05</t>
  </si>
  <si>
    <t xml:space="preserve">PUBLISH packages/core types (contract I1)</t>
  </si>
  <si>
    <t xml:space="preserve">DUE FRI W1 - frontend blocked without it</t>
  </si>
  <si>
    <t xml:space="preserve">FE-01</t>
  </si>
  <si>
    <t xml:space="preserve">Expo scaffold + Expo Router inside the monorepo</t>
  </si>
  <si>
    <t xml:space="preserve">FE-02</t>
  </si>
  <si>
    <t xml:space="preserve">Next.js App Router scaffold</t>
  </si>
  <si>
    <t xml:space="preserve">FE-03</t>
  </si>
  <si>
    <t xml:space="preserve">Token pipeline: design-tokens.json to Tailwind + RN theme</t>
  </si>
  <si>
    <t xml:space="preserve">Needs design D1</t>
  </si>
  <si>
    <t xml:space="preserve">AI-01</t>
  </si>
  <si>
    <t xml:space="preserve">Data model design review with Backend</t>
  </si>
  <si>
    <t xml:space="preserve">Can start day 1 alongside Backend</t>
  </si>
  <si>
    <t xml:space="preserve">AI-02</t>
  </si>
  <si>
    <t xml:space="preserve">Analytics event schema definition</t>
  </si>
  <si>
    <t xml:space="preserve">Get it right now - retrofit is expensive</t>
  </si>
  <si>
    <t xml:space="preserve">BE-06</t>
  </si>
  <si>
    <t xml:space="preserve">Commercial schema: orgs, territories, doctors, visits, beat plans, content</t>
  </si>
  <si>
    <t xml:space="preserve">BE-07</t>
  </si>
  <si>
    <t xml:space="preserve">Clinical schema namespace + placeholder patients table ONLY</t>
  </si>
  <si>
    <t xml:space="preserve">Deliberately incomplete - do not guess ahead</t>
  </si>
  <si>
    <t xml:space="preserve">BE-08</t>
  </si>
  <si>
    <t xml:space="preserve">Row-level security policies for all 9 roles</t>
  </si>
  <si>
    <t xml:space="preserve">THE core deliverable</t>
  </si>
  <si>
    <t xml:space="preserve">BE-09</t>
  </si>
  <si>
    <t xml:space="preserve">Audit log: DB triggers, append-only, logs reads not just writes</t>
  </si>
  <si>
    <t xml:space="preserve">BE-10</t>
  </si>
  <si>
    <t xml:space="preserve">Consent data model - immutable, withdrawal is a new row</t>
  </si>
  <si>
    <t xml:space="preserve">BE-11</t>
  </si>
  <si>
    <t xml:space="preserve">MOCK SERVER running with fixtures (contract I2)</t>
  </si>
  <si>
    <t xml:space="preserve">DUE END W2 - highest-value unblocker</t>
  </si>
  <si>
    <t xml:space="preserve">BE-12</t>
  </si>
  <si>
    <t xml:space="preserve">Adversarial RLS test suite - 15 attack paths must all fail</t>
  </si>
  <si>
    <t xml:space="preserve">Gate 0 evidence</t>
  </si>
  <si>
    <t xml:space="preserve">FE-04</t>
  </si>
  <si>
    <t xml:space="preserve">Shell navigation both platforms</t>
  </si>
  <si>
    <t xml:space="preserve">FE-05</t>
  </si>
  <si>
    <t xml:space="preserve">Layout primitives + component library wiring</t>
  </si>
  <si>
    <t xml:space="preserve">Needs design D2</t>
  </si>
  <si>
    <t xml:space="preserve">FE-06</t>
  </si>
  <si>
    <t xml:space="preserve">Connect to mock server end to end</t>
  </si>
  <si>
    <t xml:space="preserve">Do NOT build screens yet</t>
  </si>
  <si>
    <t xml:space="preserve">AI-03</t>
  </si>
  <si>
    <t xml:space="preserve">Audit log capture design review</t>
  </si>
  <si>
    <t xml:space="preserve">AI-04</t>
  </si>
  <si>
    <t xml:space="preserve">Seed + test data generator (deterministic, re-runnable)</t>
  </si>
  <si>
    <t xml:space="preserve">Gate 0 test suite needs this</t>
  </si>
  <si>
    <t xml:space="preserve">BE-13</t>
  </si>
  <si>
    <t xml:space="preserve">P1 Commercial</t>
  </si>
  <si>
    <t xml:space="preserve">Doctor, territory, beat-plan APIs</t>
  </si>
  <si>
    <t xml:space="preserve">BE-14</t>
  </si>
  <si>
    <t xml:space="preserve">Geo check-in/out API with work-hours enforcement</t>
  </si>
  <si>
    <t xml:space="preserve">Hard stop outside shift window</t>
  </si>
  <si>
    <t xml:space="preserve">BE-15</t>
  </si>
  <si>
    <t xml:space="preserve">Aggregation contract I3 published to AI/Data</t>
  </si>
  <si>
    <t xml:space="preserve">Compliance artifact - get it reviewed</t>
  </si>
  <si>
    <t xml:space="preserve">FE-07</t>
  </si>
  <si>
    <t xml:space="preserve">Field app: MR day flow shell + beat plan + today</t>
  </si>
  <si>
    <t xml:space="preserve">Needs design D3</t>
  </si>
  <si>
    <t xml:space="preserve">FE-08</t>
  </si>
  <si>
    <t xml:space="preserve">Field app: geo check-in / check-out screens</t>
  </si>
  <si>
    <t xml:space="preserve">One tap from doctor screen</t>
  </si>
  <si>
    <t xml:space="preserve">AI-05</t>
  </si>
  <si>
    <t xml:space="preserve">Anonymised aggregation service</t>
  </si>
  <si>
    <t xml:space="preserve">ONLY bridge across the boundary</t>
  </si>
  <si>
    <t xml:space="preserve">AI-06</t>
  </si>
  <si>
    <t xml:space="preserve">Suppression logic - any cell under 5 patients renders as dash</t>
  </si>
  <si>
    <t xml:space="preserve">No join key back to an individual</t>
  </si>
  <si>
    <t xml:space="preserve">BE-16</t>
  </si>
  <si>
    <t xml:space="preserve">Offline sync protocol</t>
  </si>
  <si>
    <t xml:space="preserve">BE-17</t>
  </si>
  <si>
    <t xml:space="preserve">Sync conflict resolution + queue semantics</t>
  </si>
  <si>
    <t xml:space="preserve">FE-09</t>
  </si>
  <si>
    <t xml:space="preserve">Field app: call report screen</t>
  </si>
  <si>
    <t xml:space="preserve">MUST be completable in under 60 seconds</t>
  </si>
  <si>
    <t xml:space="preserve">FE-10</t>
  </si>
  <si>
    <t xml:space="preserve">Field app: offline UI + sync state + queue visibility</t>
  </si>
  <si>
    <t xml:space="preserve">Offline is a normal state, not an error</t>
  </si>
  <si>
    <t xml:space="preserve">AI-07</t>
  </si>
  <si>
    <t xml:space="preserve">Analytics pipeline</t>
  </si>
  <si>
    <t xml:space="preserve">AI-08</t>
  </si>
  <si>
    <t xml:space="preserve">KPI computation engine</t>
  </si>
  <si>
    <t xml:space="preserve">BE-18</t>
  </si>
  <si>
    <t xml:space="preserve">Manager APIs + approval hierarchy over territory subtree</t>
  </si>
  <si>
    <t xml:space="preserve">BE-19</t>
  </si>
  <si>
    <t xml:space="preserve">Content storage and versioning</t>
  </si>
  <si>
    <t xml:space="preserve">FE-11</t>
  </si>
  <si>
    <t xml:space="preserve">Field app: digital detailing viewer + finish</t>
  </si>
  <si>
    <t xml:space="preserve">FE-12</t>
  </si>
  <si>
    <t xml:space="preserve">TRACKING TRANSPARENCY SCREEN + stop confirmation</t>
  </si>
  <si>
    <t xml:space="preserve">Main adoption risk - make it reassuring</t>
  </si>
  <si>
    <t xml:space="preserve">AI-09</t>
  </si>
  <si>
    <t xml:space="preserve">Territory KPI engine</t>
  </si>
  <si>
    <t xml:space="preserve">AI-10</t>
  </si>
  <si>
    <t xml:space="preserve">Exception detection logic for manager dashboard</t>
  </si>
  <si>
    <t xml:space="preserve">Show what is off-plan, not on-plan</t>
  </si>
  <si>
    <t xml:space="preserve">BE-20</t>
  </si>
  <si>
    <t xml:space="preserve">API hardening + sync edge cases</t>
  </si>
  <si>
    <t xml:space="preserve">FE-13</t>
  </si>
  <si>
    <t xml:space="preserve">Manager console: shell + exception-first dashboard</t>
  </si>
  <si>
    <t xml:space="preserve">FE-14</t>
  </si>
  <si>
    <t xml:space="preserve">Manager console: approvals queue + route review</t>
  </si>
  <si>
    <t xml:space="preserve">Charts come from AI/Data</t>
  </si>
  <si>
    <t xml:space="preserve">AI-11</t>
  </si>
  <si>
    <t xml:space="preserve">Manager dashboard data layer</t>
  </si>
  <si>
    <t xml:space="preserve">AI-12</t>
  </si>
  <si>
    <t xml:space="preserve">Dashboard charts + data visualisation</t>
  </si>
  <si>
    <t xml:space="preserve">Read dataviz guidance first</t>
  </si>
  <si>
    <t xml:space="preserve">BE-21</t>
  </si>
  <si>
    <t xml:space="preserve">P2 Clinical</t>
  </si>
  <si>
    <t xml:space="preserve">Clinical schema in full (Prompt 0B)</t>
  </si>
  <si>
    <t xml:space="preserve">BLOCKED ON DECISION O1</t>
  </si>
  <si>
    <t xml:space="preserve">BE-22</t>
  </si>
  <si>
    <t xml:space="preserve">Consent engine - versioned, clinic-initiated, withdrawable</t>
  </si>
  <si>
    <t xml:space="preserve">BE-23</t>
  </si>
  <si>
    <t xml:space="preserve">Patient / diagnosis / prescription APIs</t>
  </si>
  <si>
    <t xml:space="preserve">Do NOT hardcode 'Elmiron' - India brands differ</t>
  </si>
  <si>
    <t xml:space="preserve">FE-15</t>
  </si>
  <si>
    <t xml:space="preserve">Patient app: enrolment via clinic code</t>
  </si>
  <si>
    <t xml:space="preserve">FE-16</t>
  </si>
  <si>
    <t xml:space="preserve">Patient app: consent flow - multi-step, refusable, withdrawable</t>
  </si>
  <si>
    <t xml:space="preserve">AI-13</t>
  </si>
  <si>
    <t xml:space="preserve">Clinical aggregate layer - anonymised only</t>
  </si>
  <si>
    <t xml:space="preserve">BE-24</t>
  </si>
  <si>
    <t xml:space="preserve">Diary + vision check APIs</t>
  </si>
  <si>
    <t xml:space="preserve">BE-25</t>
  </si>
  <si>
    <t xml:space="preserve">Ophthalmic schedule engine - cadence configurable per market</t>
  </si>
  <si>
    <t xml:space="preserve">US and EU labels differ</t>
  </si>
  <si>
    <t xml:space="preserve">FE-17</t>
  </si>
  <si>
    <t xml:space="preserve">Patient app: home / today</t>
  </si>
  <si>
    <t xml:space="preserve">18px min, weight 400 min, AAA contrast</t>
  </si>
  <si>
    <t xml:space="preserve">FE-18</t>
  </si>
  <si>
    <t xml:space="preserve">Patient app: weekly symptom log</t>
  </si>
  <si>
    <t xml:space="preserve">Target under 45s, 3 taps, no typing</t>
  </si>
  <si>
    <t xml:space="preserve">FE-19</t>
  </si>
  <si>
    <t xml:space="preserve">Patient app: dose confirm + reminders</t>
  </si>
  <si>
    <t xml:space="preserve">AI-14</t>
  </si>
  <si>
    <t xml:space="preserve">Diary trend computation</t>
  </si>
  <si>
    <t xml:space="preserve">AI-15</t>
  </si>
  <si>
    <t xml:space="preserve">Retention instrumentation</t>
  </si>
  <si>
    <t xml:space="preserve">Measure retention, do not assume it</t>
  </si>
  <si>
    <t xml:space="preserve">BE-26</t>
  </si>
  <si>
    <t xml:space="preserve">AE detection engine + SLA timers computed on insert</t>
  </si>
  <si>
    <t xml:space="preserve">Clock starts at insert, not triage</t>
  </si>
  <si>
    <t xml:space="preserve">BE-27</t>
  </si>
  <si>
    <t xml:space="preserve">Reminder engine - administrative content only</t>
  </si>
  <si>
    <t xml:space="preserve">No clinical advice text</t>
  </si>
  <si>
    <t xml:space="preserve">FE-20</t>
  </si>
  <si>
    <t xml:space="preserve">Patient app: monthly vision check - structured only</t>
  </si>
  <si>
    <t xml:space="preserve">Safety critical</t>
  </si>
  <si>
    <t xml:space="preserve">FE-21</t>
  </si>
  <si>
    <t xml:space="preserve">Patient app: AE report flow + calm acknowledgement</t>
  </si>
  <si>
    <t xml:space="preserve">Silence here is the worst outcome</t>
  </si>
  <si>
    <t xml:space="preserve">AI-16</t>
  </si>
  <si>
    <t xml:space="preserve">P3 AI Layer</t>
  </si>
  <si>
    <t xml:space="preserve">LLM gateway scaffold + provider abstraction</t>
  </si>
  <si>
    <t xml:space="preserve">AI-17</t>
  </si>
  <si>
    <t xml:space="preserve">Evaluation harness for summary quality</t>
  </si>
  <si>
    <t xml:space="preserve">Measured, not eyeballed</t>
  </si>
  <si>
    <t xml:space="preserve">AI-18</t>
  </si>
  <si>
    <t xml:space="preserve">Request/response logging + refusal handling</t>
  </si>
  <si>
    <t xml:space="preserve">AI-19</t>
  </si>
  <si>
    <t xml:space="preserve">PUBLISH AI gateway contract I4</t>
  </si>
  <si>
    <t xml:space="preserve">DUE END W9 - frontend needs it</t>
  </si>
  <si>
    <t xml:space="preserve">BE-28</t>
  </si>
  <si>
    <t xml:space="preserve">AE case export with all 4 validity elements</t>
  </si>
  <si>
    <t xml:space="preserve">BE-29</t>
  </si>
  <si>
    <t xml:space="preserve">Consent withdrawal handling - AE records must survive</t>
  </si>
  <si>
    <t xml:space="preserve">Needs a test, not a comment</t>
  </si>
  <si>
    <t xml:space="preserve">FE-22</t>
  </si>
  <si>
    <t xml:space="preserve">Doctor console: patient list</t>
  </si>
  <si>
    <t xml:space="preserve">FE-23</t>
  </si>
  <si>
    <t xml:space="preserve">Doctor console: patient detail view</t>
  </si>
  <si>
    <t xml:space="preserve">Readable in 15 seconds</t>
  </si>
  <si>
    <t xml:space="preserve">AI-20</t>
  </si>
  <si>
    <t xml:space="preserve">PHI guard - tokenisation and stripping before egress</t>
  </si>
  <si>
    <t xml:space="preserve">BE-30</t>
  </si>
  <si>
    <t xml:space="preserve">Highest risk component in the codebase</t>
  </si>
  <si>
    <t xml:space="preserve">AI-21</t>
  </si>
  <si>
    <t xml:space="preserve">Prompt design + retrieval index over approved content</t>
  </si>
  <si>
    <t xml:space="preserve">PHI tokenisation service for the AI gateway</t>
  </si>
  <si>
    <t xml:space="preserve">BE-31</t>
  </si>
  <si>
    <t xml:space="preserve">AI call audit trail - who, what data class, provider, response</t>
  </si>
  <si>
    <t xml:space="preserve">FE-24</t>
  </si>
  <si>
    <t xml:space="preserve">Doctor console: diagnosis entry</t>
  </si>
  <si>
    <t xml:space="preserve">FE-25</t>
  </si>
  <si>
    <t xml:space="preserve">Doctor console: prescription entry - brand, form, dose</t>
  </si>
  <si>
    <t xml:space="preserve">Do NOT hardcode 'Elmiron'</t>
  </si>
  <si>
    <t xml:space="preserve">AI-22</t>
  </si>
  <si>
    <t xml:space="preserve">Patient history summary with inline citations</t>
  </si>
  <si>
    <t xml:space="preserve">HCP-facing only</t>
  </si>
  <si>
    <t xml:space="preserve">BE-32</t>
  </si>
  <si>
    <t xml:space="preserve">External integration work</t>
  </si>
  <si>
    <t xml:space="preserve">SCOPE BLOCKED ON DECISION O4</t>
  </si>
  <si>
    <t xml:space="preserve">FE-26</t>
  </si>
  <si>
    <t xml:space="preserve">Doctor console: ophthalmic monitoring schedule status</t>
  </si>
  <si>
    <t xml:space="preserve">FE-27</t>
  </si>
  <si>
    <t xml:space="preserve">AISummaryCard integration</t>
  </si>
  <si>
    <t xml:space="preserve">Impossible to render without citations</t>
  </si>
  <si>
    <t xml:space="preserve">AI-23</t>
  </si>
  <si>
    <t xml:space="preserve">Visit prep brief</t>
  </si>
  <si>
    <t xml:space="preserve">AI-24</t>
  </si>
  <si>
    <t xml:space="preserve">OUTPUT GUARD - hard filter on advice and prediction language</t>
  </si>
  <si>
    <t xml:space="preserve">A filter, not a prompt instruction</t>
  </si>
  <si>
    <t xml:space="preserve">AI-25</t>
  </si>
  <si>
    <t xml:space="preserve">Approved-content retrieval for the field team</t>
  </si>
  <si>
    <t xml:space="preserve">BE-33</t>
  </si>
  <si>
    <t xml:space="preserve">P4 Mkt/Admin</t>
  </si>
  <si>
    <t xml:space="preserve">Marketing APIs</t>
  </si>
  <si>
    <t xml:space="preserve">BE-34</t>
  </si>
  <si>
    <t xml:space="preserve">UCPMP-aware input and sample tracking with value caps</t>
  </si>
  <si>
    <t xml:space="preserve">FE-28</t>
  </si>
  <si>
    <t xml:space="preserve">Gynaecologist referral surface</t>
  </si>
  <si>
    <t xml:space="preserve">Different IA - NOT a prescribing UI</t>
  </si>
  <si>
    <t xml:space="preserve">AI-26</t>
  </si>
  <si>
    <t xml:space="preserve">Red-team round 1 + full gateway log review</t>
  </si>
  <si>
    <t xml:space="preserve">Gate 3 evidence</t>
  </si>
  <si>
    <t xml:space="preserve">BE-35</t>
  </si>
  <si>
    <t xml:space="preserve">Admin APIs + break-glass with mandatory typed reason</t>
  </si>
  <si>
    <t xml:space="preserve">BE-36</t>
  </si>
  <si>
    <t xml:space="preserve">Audit log viewer API</t>
  </si>
  <si>
    <t xml:space="preserve">FE-29</t>
  </si>
  <si>
    <t xml:space="preserve">PV console UI - SLA clock is the primary element</t>
  </si>
  <si>
    <t xml:space="preserve">FE-30</t>
  </si>
  <si>
    <t xml:space="preserve">Admin console UI - break-glass typed reason before render</t>
  </si>
  <si>
    <t xml:space="preserve">AI-27</t>
  </si>
  <si>
    <t xml:space="preserve">Marketing console + CLM telemetry processing</t>
  </si>
  <si>
    <t xml:space="preserve">AI-28</t>
  </si>
  <si>
    <t xml:space="preserve">Content performance analytics + UCPMP reporting</t>
  </si>
  <si>
    <t xml:space="preserve">BE-37</t>
  </si>
  <si>
    <t xml:space="preserve">P5 Hardening</t>
  </si>
  <si>
    <t xml:space="preserve">Security review + dependency audit + pen test remediation</t>
  </si>
  <si>
    <t xml:space="preserve">BE-38</t>
  </si>
  <si>
    <t xml:space="preserve">Backup and restore TESTED (not assumed) + breach runbook</t>
  </si>
  <si>
    <t xml:space="preserve">India 72hr / US 60day notification</t>
  </si>
  <si>
    <t xml:space="preserve">FE-31</t>
  </si>
  <si>
    <t xml:space="preserve">Accessibility audit + fixes, real screen reader testing</t>
  </si>
  <si>
    <t xml:space="preserve">VoiceOver and TalkBack, not just automated</t>
  </si>
  <si>
    <t xml:space="preserve">FE-32</t>
  </si>
  <si>
    <t xml:space="preserve">Performance, bundle size, polish</t>
  </si>
  <si>
    <t xml:space="preserve">AI-29</t>
  </si>
  <si>
    <t xml:space="preserve">Red-team round 2 + model cost monitoring + budget alarm</t>
  </si>
  <si>
    <t xml:space="preserve">AI-30</t>
  </si>
  <si>
    <t xml:space="preserve">DPIA data-flow map support</t>
  </si>
  <si>
    <t xml:space="preserve">BE-39</t>
  </si>
  <si>
    <t xml:space="preserve">P6 Pilot</t>
  </si>
  <si>
    <t xml:space="preserve">Pilot ops, monitoring, alerting, on-call</t>
  </si>
  <si>
    <t xml:space="preserve">FE-33</t>
  </si>
  <si>
    <t xml:space="preserve">Pilot bug fixes</t>
  </si>
  <si>
    <t xml:space="preserve">AI-31</t>
  </si>
  <si>
    <t xml:space="preserve">Pilot dashboards + retention measurement</t>
  </si>
  <si>
    <t xml:space="preserve">Gate</t>
  </si>
  <si>
    <t xml:space="preserve"> • Monorepo: Turborepo + pnpm workspaces, strict TS, lint/format
 • CI/CD: GitHub Actions - typecheck, lint, tests on every PR
 • Two Supabase projects: Mumbai + US. Same migrations, separate data.
 • Auth + 9 roles + user_profiles table
 • PUBLISH packages/core types (contract I1)</t>
  </si>
  <si>
    <t xml:space="preserve"> • Expo scaffold + Expo Router inside the monorepo
 • Next.js App Router scaffold
 • Token pipeline: design-tokens.json to Tailwind + RN theme</t>
  </si>
  <si>
    <t xml:space="preserve"> • Data model design review with Backend
 • Analytics event schema definition</t>
  </si>
  <si>
    <t xml:space="preserve"> • Commercial schema: orgs, territories, doctors, visits, beat plans, content
 • Clinical schema namespace + placeholder patients table ONLY
 • Row-level security policies for all 9 roles
 • Audit log: DB triggers, append-only, logs reads not just writes
 • Consent data model - immutable, withdrawal is a new row
 • MOCK SERVER running with fixtures (contract I2)
 • Adversarial RLS test suite - 15 attack paths must all fail</t>
  </si>
  <si>
    <t xml:space="preserve"> • Shell navigation both platforms
 • Layout primitives + component library wiring
 • Connect to mock server end to end</t>
  </si>
  <si>
    <t xml:space="preserve"> • Audit log capture design review
 • Seed + test data generator (deterministic, re-runnable)</t>
  </si>
  <si>
    <t xml:space="preserve">G0: RLS Boundary</t>
  </si>
  <si>
    <t xml:space="preserve"> • Doctor, territory, beat-plan APIs
 • Geo check-in/out API with work-hours enforcement
 • Aggregation contract I3 published to AI/Data</t>
  </si>
  <si>
    <t xml:space="preserve"> • Field app: MR day flow shell + beat plan + today
 • Field app: geo check-in / check-out screens</t>
  </si>
  <si>
    <t xml:space="preserve"> • Anonymised aggregation service
 • Suppression logic - any cell under 5 patients renders as dash</t>
  </si>
  <si>
    <t xml:space="preserve"> • Offline sync protocol
 • Sync conflict resolution + queue semantics</t>
  </si>
  <si>
    <t xml:space="preserve"> • Field app: call report screen
 • Field app: offline UI + sync state + queue visibility</t>
  </si>
  <si>
    <t xml:space="preserve"> • Analytics pipeline
 • KPI computation engine</t>
  </si>
  <si>
    <t xml:space="preserve"> • Manager APIs + approval hierarchy over territory subtree
 • Content storage and versioning</t>
  </si>
  <si>
    <t xml:space="preserve"> • Field app: digital detailing viewer + finish
 • TRACKING TRANSPARENCY SCREEN + stop confirmation</t>
  </si>
  <si>
    <t xml:space="preserve"> • Territory KPI engine
 • Exception detection logic for manager dashboard</t>
  </si>
  <si>
    <t xml:space="preserve"> • API hardening + sync edge cases</t>
  </si>
  <si>
    <t xml:space="preserve"> • Manager console: shell + exception-first dashboard
 • Manager console: approvals queue + route review</t>
  </si>
  <si>
    <t xml:space="preserve"> • Manager dashboard data layer
 • Dashboard charts + data visualisation</t>
  </si>
  <si>
    <t xml:space="preserve">G1: Offline Field Day</t>
  </si>
  <si>
    <t xml:space="preserve"> • Clinical schema in full (Prompt 0B)
 • Consent engine - versioned, clinic-initiated, withdrawable
 • Patient / diagnosis / prescription APIs</t>
  </si>
  <si>
    <t xml:space="preserve"> • Patient app: enrolment via clinic code
 • Patient app: consent flow - multi-step, refusable, withdrawable</t>
  </si>
  <si>
    <t xml:space="preserve"> • Clinical aggregate layer - anonymised only</t>
  </si>
  <si>
    <t xml:space="preserve"> • Diary + vision check APIs
 • Ophthalmic schedule engine - cadence configurable per market</t>
  </si>
  <si>
    <t xml:space="preserve"> • Patient app: home / today
 • Patient app: weekly symptom log
 • Patient app: dose confirm + reminders</t>
  </si>
  <si>
    <t xml:space="preserve"> • Diary trend computation
 • Retention instrumentation</t>
  </si>
  <si>
    <t xml:space="preserve"> • AE detection engine + SLA timers computed on insert
 • Reminder engine - administrative content only</t>
  </si>
  <si>
    <t xml:space="preserve"> • Patient app: monthly vision check - structured only
 • Patient app: AE report flow + calm acknowledgement</t>
  </si>
  <si>
    <t xml:space="preserve"> • LLM gateway scaffold + provider abstraction
 • Evaluation harness for summary quality
 • Request/response logging + refusal handling
 • PUBLISH AI gateway contract I4</t>
  </si>
  <si>
    <t xml:space="preserve"> • AE case export with all 4 validity elements
 • Consent withdrawal handling - AE records must survive</t>
  </si>
  <si>
    <t xml:space="preserve"> • Doctor console: patient list
 • Doctor console: patient detail view</t>
  </si>
  <si>
    <t xml:space="preserve"> • PHI guard - tokenisation and stripping before egress
 • Prompt design + retrieval index over approved content</t>
  </si>
  <si>
    <t xml:space="preserve">G2: Adverse Event Path</t>
  </si>
  <si>
    <t xml:space="preserve"> • PHI tokenisation service for the AI gateway
 • AI call audit trail - who, what data class, provider, response</t>
  </si>
  <si>
    <t xml:space="preserve"> • Doctor console: diagnosis entry
 • Doctor console: prescription entry - brand, form, dose</t>
  </si>
  <si>
    <t xml:space="preserve"> • Patient history summary with inline citations</t>
  </si>
  <si>
    <t xml:space="preserve"> • External integration work</t>
  </si>
  <si>
    <t xml:space="preserve"> • Doctor console: ophthalmic monitoring schedule status
 • AISummaryCard integration</t>
  </si>
  <si>
    <t xml:space="preserve"> • Visit prep brief
 • OUTPUT GUARD - hard filter on advice and prediction language
 • Approved-content retrieval for the field team</t>
  </si>
  <si>
    <t xml:space="preserve"> • Marketing APIs
 • UCPMP-aware input and sample tracking with value caps</t>
  </si>
  <si>
    <t xml:space="preserve"> • Gynaecologist referral surface</t>
  </si>
  <si>
    <t xml:space="preserve"> • Red-team round 1 + full gateway log review</t>
  </si>
  <si>
    <t xml:space="preserve">G3: AI Red-Team</t>
  </si>
  <si>
    <t xml:space="preserve"> • Admin APIs + break-glass with mandatory typed reason
 • Audit log viewer API</t>
  </si>
  <si>
    <t xml:space="preserve"> • PV console UI - SLA clock is the primary element
 • Admin console UI - break-glass typed reason before render</t>
  </si>
  <si>
    <t xml:space="preserve"> • Marketing console + CLM telemetry processing
 • Content performance analytics + UCPMP reporting</t>
  </si>
  <si>
    <t xml:space="preserve">G4: Marketing Boundary</t>
  </si>
  <si>
    <t xml:space="preserve"> • Security review + dependency audit + pen test remediation
 • Backup and restore TESTED (not assumed) + breach runbook</t>
  </si>
  <si>
    <t xml:space="preserve"> • Accessibility audit + fixes, real screen reader testing
 • Performance, bundle size, polish</t>
  </si>
  <si>
    <t xml:space="preserve"> • Red-team round 2 + model cost monitoring + budget alarm
 • DPIA data-flow map support</t>
  </si>
  <si>
    <t xml:space="preserve">G5: Security</t>
  </si>
  <si>
    <t xml:space="preserve"> • Pilot ops, monitoring, alerting, on-call</t>
  </si>
  <si>
    <t xml:space="preserve"> • Pilot bug fixes</t>
  </si>
  <si>
    <t xml:space="preserve"> • Pilot dashboards + retention measurement</t>
  </si>
  <si>
    <t xml:space="preserve">G6: Pilot</t>
  </si>
  <si>
    <t xml:space="preserve">Name</t>
  </si>
  <si>
    <t xml:space="preserve">Pass criteria</t>
  </si>
  <si>
    <t xml:space="preserve">Warning</t>
  </si>
  <si>
    <t xml:space="preserve">Verified by</t>
  </si>
  <si>
    <t xml:space="preserve">Date</t>
  </si>
  <si>
    <t xml:space="preserve">G0</t>
  </si>
  <si>
    <t xml:space="preserve">RLS Boundary</t>
  </si>
  <si>
    <t xml:space="preserve">MR / Manager / Marketing tokens denied on clinical data via REST, raw SQL, join, function and view. Audit log rejects UPDATE and DELETE. Break-glass writes audit row BEFORE returning data.</t>
  </si>
  <si>
    <t xml:space="preserve">If any test passes when it should fail: STOP. Do not patch in application code.</t>
  </si>
  <si>
    <t xml:space="preserve">Not Reached</t>
  </si>
  <si>
    <t xml:space="preserve">G1</t>
  </si>
  <si>
    <t xml:space="preserve">Offline Field Day</t>
  </si>
  <si>
    <t xml:space="preserve">Backend + Frontend</t>
  </si>
  <si>
    <t xml:space="preserve">One territory runs a full simulated day offline and syncs clean. No lost writes, no duplicates, deterministic conflict resolution. Tracking policy document signed.</t>
  </si>
  <si>
    <t xml:space="preserve">G2</t>
  </si>
  <si>
    <t xml:space="preserve">Adverse Event Path</t>
  </si>
  <si>
    <t xml:space="preserve">Patient logs a vision symptom, flagged in minutes, lands in PV queue with running clock, mock PV officer exports a valid case with all 4 elements. Consent withdrawal does NOT delete the AE record.</t>
  </si>
  <si>
    <t xml:space="preserve">IF THIS FAILS, DO NOT PROCEED TO PHASE 3.</t>
  </si>
  <si>
    <t xml:space="preserve">G3</t>
  </si>
  <si>
    <t xml:space="preserve">AI Red-Team</t>
  </si>
  <si>
    <t xml:space="preserve">Two independent testers must FAIL to: (a) make AI give clinical advice, (b) surface output to a patient, (c) leak an identifier to the provider, (d) produce an uncited summary.</t>
  </si>
  <si>
    <t xml:space="preserve">Not run by the person who built it.</t>
  </si>
  <si>
    <t xml:space="preserve">G4</t>
  </si>
  <si>
    <t xml:space="preserve">Marketing Boundary</t>
  </si>
  <si>
    <t xml:space="preserve">A marketing user attempts to reach patient-level data by every path and fails. Suppression threshold verified on a seeded dataset.</t>
  </si>
  <si>
    <t xml:space="preserve">G5</t>
  </si>
  <si>
    <t xml:space="preserve">Security</t>
  </si>
  <si>
    <t xml:space="preserve">Clean pen test on all high findings. Restore performed from backup, witnessed.</t>
  </si>
  <si>
    <t xml:space="preserve">G6</t>
  </si>
  <si>
    <t xml:space="preserve">Pilot</t>
  </si>
  <si>
    <t xml:space="preserve">All</t>
  </si>
  <si>
    <t xml:space="preserve">AE path exercised at least once with a real submission. Retention measured, not assumed.</t>
  </si>
  <si>
    <t xml:space="preserve">RULE: never start the next phase until the gate passes. The reviewer runs the test personally - never accept a passing report.</t>
  </si>
  <si>
    <t xml:space="preserve">Contract</t>
  </si>
  <si>
    <t xml:space="preserve">Consumers</t>
  </si>
  <si>
    <t xml:space="preserve">Due (end of week)</t>
  </si>
  <si>
    <t xml:space="preserve">If it slips</t>
  </si>
  <si>
    <t xml:space="preserve">I1</t>
  </si>
  <si>
    <t xml:space="preserve">Typed API contract (packages/core types + Zod schemas)</t>
  </si>
  <si>
    <t xml:space="preserve">Frontend, AI/Data</t>
  </si>
  <si>
    <t xml:space="preserve">Frontend cannot start at all</t>
  </si>
  <si>
    <t xml:space="preserve">I2</t>
  </si>
  <si>
    <t xml:space="preserve">Mock server with realistic fixtures for every endpoint</t>
  </si>
  <si>
    <t xml:space="preserve">Frontend blocked for the whole project. The single highest-value unblocker.</t>
  </si>
  <si>
    <t xml:space="preserve">I3</t>
  </si>
  <si>
    <t xml:space="preserve">Aggregation contract - what crosses the commercial/clinical boundary, in what shape, with the suppression rule</t>
  </si>
  <si>
    <t xml:space="preserve">AI/Data cannot build the aggregation service. This is a compliance artifact - get it reviewed.</t>
  </si>
  <si>
    <t xml:space="preserve">I4</t>
  </si>
  <si>
    <t xml:space="preserve">AI gateway contract - request/response shape, citation format, error and refusal cases</t>
  </si>
  <si>
    <t xml:space="preserve">Frontend, Backend</t>
  </si>
  <si>
    <t xml:space="preserve">AISummaryCard cannot be built against a real shape</t>
  </si>
  <si>
    <t xml:space="preserve">Never change an interface silently. Announce breaking changes in writing before they land.</t>
  </si>
  <si>
    <t xml:space="preserve">State</t>
  </si>
  <si>
    <t xml:space="preserve">Decision</t>
  </si>
  <si>
    <t xml:space="preserve">What it affects</t>
  </si>
  <si>
    <t xml:space="preserve">Status / blocking</t>
  </si>
  <si>
    <t xml:space="preserve">O1</t>
  </si>
  <si>
    <t xml:space="preserve">OPEN</t>
  </si>
  <si>
    <t xml:space="preserve">Data controller model - pharma-owned vs split vs per-market</t>
  </si>
  <si>
    <t xml:space="preserve">Clinical schema, consent engine, whole clinical track</t>
  </si>
  <si>
    <t xml:space="preserve">BLOCKING BE-21 (week 7)</t>
  </si>
  <si>
    <t xml:space="preserve">Reviewer</t>
  </si>
  <si>
    <t xml:space="preserve">O2</t>
  </si>
  <si>
    <t xml:space="preserve">Which brand, molecule and legal entity. Elmiron does not exist in India - PPS sells as Comfora, Cystopen, For-IC, Pentossan</t>
  </si>
  <si>
    <t xml:space="preserve">Branding, MR content, regulatory owner</t>
  </si>
  <si>
    <t xml:space="preserve">BLOCKING design + content</t>
  </si>
  <si>
    <t xml:space="preserve">O3</t>
  </si>
  <si>
    <t xml:space="preserve">Urologists vs gynaecologists as the detailing audience</t>
  </si>
  <si>
    <t xml:space="preserve">Doctor master schema, content strategy, territory design</t>
  </si>
  <si>
    <t xml:space="preserve">Needed by week 2</t>
  </si>
  <si>
    <t xml:space="preserve">O4</t>
  </si>
  <si>
    <t xml:space="preserve">'Patient interactions via API' - which system? EMR, WhatsApp, labs, pharmacy?</t>
  </si>
  <si>
    <t xml:space="preserve">Integration scope: 2 weeks or 3 months</t>
  </si>
  <si>
    <t xml:space="preserve">BLOCKING BE-32 (week 12)</t>
  </si>
  <si>
    <t xml:space="preserve">O5</t>
  </si>
  <si>
    <t xml:space="preserve">Marketing and sales data scope; source of actual sales data</t>
  </si>
  <si>
    <t xml:space="preserve">Phase 4 entirely</t>
  </si>
  <si>
    <t xml:space="preserve">Needed by week 4</t>
  </si>
  <si>
    <t xml:space="preserve">O6</t>
  </si>
  <si>
    <t xml:space="preserve">Team skill inventory - can AI/Data do SQL and data modelling?</t>
  </si>
  <si>
    <t xml:space="preserve">Validity of the whole three-role split</t>
  </si>
  <si>
    <t xml:space="preserve">Needed immediately</t>
  </si>
  <si>
    <t xml:space="preserve">O7</t>
  </si>
  <si>
    <t xml:space="preserve">Existing 'partnering Elmiron project' - never made accessible</t>
  </si>
  <si>
    <t xml:space="preserve">Greenfield vs rebuild</t>
  </si>
  <si>
    <t xml:space="preserve">Repo confirms greenfield; likely closeable</t>
  </si>
  <si>
    <t xml:space="preserve">L1</t>
  </si>
  <si>
    <t xml:space="preserve">LOCKED</t>
  </si>
  <si>
    <t xml:space="preserve">AI is non-diagnostic - summarise, organise, retrieve only</t>
  </si>
  <si>
    <t xml:space="preserve">No dose suggestions, no risk scores, no ranking</t>
  </si>
  <si>
    <t xml:space="preserve">L2</t>
  </si>
  <si>
    <t xml:space="preserve">AI is HCP-facing only in v1 - patients see raw data</t>
  </si>
  <si>
    <t xml:space="preserve">India TPG prohibition + FDA criterion 3</t>
  </si>
  <si>
    <t xml:space="preserve">L3</t>
  </si>
  <si>
    <t xml:space="preserve">LLM provider abstracted, not chosen. Zero-retention DPA required before real data</t>
  </si>
  <si>
    <t xml:space="preserve">L4</t>
  </si>
  <si>
    <t xml:space="preserve">MR tracking hybrid - continuous during work hours only, hard stop after</t>
  </si>
  <si>
    <t xml:space="preserve">Company devices or separated work profile</t>
  </si>
  <si>
    <t xml:space="preserve">L5</t>
  </si>
  <si>
    <t xml:space="preserve">Web + mobile as two frontends over one shared core</t>
  </si>
  <si>
    <t xml:space="preserve">Expo + Next.js, not twelve products</t>
  </si>
  <si>
    <t xml:space="preserve">L6</t>
  </si>
  <si>
    <t xml:space="preserve">16 weeks to pilot-ready MVP</t>
  </si>
  <si>
    <t xml:space="preserve">L7</t>
  </si>
  <si>
    <t xml:space="preserve">Diary is weekly symptom log + monthly vision check, not daily</t>
  </si>
  <si>
    <t xml:space="preserve">Retention evidence: median 5.5 days in the wild</t>
  </si>
  <si>
    <t xml:space="preserve">L8</t>
  </si>
  <si>
    <t xml:space="preserve">AE routing always to a human queue, never AI-triaged</t>
  </si>
  <si>
    <t xml:space="preserve">L9</t>
  </si>
  <si>
    <t xml:space="preserve">Enrolment is clinic-initiated by the treating doctor</t>
  </si>
  <si>
    <t xml:space="preserve">No app-store self-signup for the clinical side</t>
  </si>
  <si>
    <t xml:space="preserve">#</t>
  </si>
  <si>
    <t xml:space="preserve">Risk</t>
  </si>
  <si>
    <t xml:space="preserve">Likelihood</t>
  </si>
  <si>
    <t xml:space="preserve">Impact</t>
  </si>
  <si>
    <t xml:space="preserve">Mitigation</t>
  </si>
  <si>
    <t xml:space="preserve">Early warning sign</t>
  </si>
  <si>
    <t xml:space="preserve">Frontend overload from week 7 - patient app and doctor console overlap</t>
  </si>
  <si>
    <t xml:space="preserve">High</t>
  </si>
  <si>
    <t xml:space="preserve">Cut order pre-agreed. AI/Data takes all chart work. Reviewer refuses new screen requests.</t>
  </si>
  <si>
    <t xml:space="preserve">FE behind by &gt;3 days at the week-6 checkpoint</t>
  </si>
  <si>
    <t xml:space="preserve">AI/Data invents scope in weeks 3-10</t>
  </si>
  <si>
    <t xml:space="preserve">Their weeks 1-10 work is specified and gated. Weekly check they are on aggregation, not prototyping a recommender.</t>
  </si>
  <si>
    <t xml:space="preserve">Anything appearing that is not in the plan</t>
  </si>
  <si>
    <t xml:space="preserve">Decision O1 unanswered at week 7</t>
  </si>
  <si>
    <t xml:space="preserve">Escalate now. Clinical schema cannot be built without it.</t>
  </si>
  <si>
    <t xml:space="preserve">Still open at end of week 4</t>
  </si>
  <si>
    <t xml:space="preserve">Mock server slips past week 2</t>
  </si>
  <si>
    <t xml:space="preserve">Medium</t>
  </si>
  <si>
    <t xml:space="preserve">Not optional. A week of blocked frontend costs more than the mock server costs to build.</t>
  </si>
  <si>
    <t xml:space="preserve">Any excuse involving 'the real API is nearly ready'</t>
  </si>
  <si>
    <t xml:space="preserve">Nobody owns QA</t>
  </si>
  <si>
    <t xml:space="preserve">Each role tests their own. Reviewer verifies every gate independently - runs the test, never reads the report.</t>
  </si>
  <si>
    <t xml:space="preserve">Bugs found at pilot instead of at a gate</t>
  </si>
  <si>
    <t xml:space="preserve">AE volume overwhelms manual PV triage</t>
  </si>
  <si>
    <t xml:space="preserve">Structured vision check reduces free text. SLA timers with escalation. Staff before launch, not after.</t>
  </si>
  <si>
    <t xml:space="preserve">AE queue depth at pilot</t>
  </si>
  <si>
    <t xml:space="preserve">Backend bottleneck weeks 7-9 - clinical schema, consent and AE engine all land together</t>
  </si>
  <si>
    <t xml:space="preserve">Densest backend stretch in the project. Consider moving the reminder engine to week 10.</t>
  </si>
  <si>
    <t xml:space="preserve">BE behind at the week-8 checkpoint</t>
  </si>
  <si>
    <t xml:space="preserve">PHI leaks to the LLM provider</t>
  </si>
  <si>
    <t xml:space="preserve">Gateway with tokenisation. Zero-retention DPA signed before real data. Log review at Gate 3.</t>
  </si>
  <si>
    <t xml:space="preserve">Any identifier in a provider payload</t>
  </si>
  <si>
    <t xml:space="preserve">RBAC enforced in UI only, not at the database</t>
  </si>
  <si>
    <t xml:space="preserve">Critical</t>
  </si>
  <si>
    <t xml:space="preserve">Gate 0 is an automated adversarial test, not a code read.</t>
  </si>
  <si>
    <t xml:space="preserve">Empty results where permission-denied is expected</t>
  </si>
  <si>
    <t xml:space="preserve">Patient retention collapses</t>
  </si>
  <si>
    <t xml:space="preserve">Weekly not daily. Clinic enrolment. Human follow-up budgeted. Measure at pilot, do not assume.</t>
  </si>
  <si>
    <t xml:space="preserve">Retention instrumentation at week 8</t>
  </si>
  <si>
    <t xml:space="preserve">Wrong drug, brand or legal entity (decision O2)</t>
  </si>
  <si>
    <t xml:space="preserve">Answer O2 in week 1</t>
  </si>
  <si>
    <t xml:space="preserve">Still open at end of week 2</t>
  </si>
  <si>
    <t xml:space="preserve">Bus factor of 1 on every role</t>
  </si>
  <si>
    <t xml:space="preserve">PROJECT-OVERVIEW.md appended every phase, not at the end.</t>
  </si>
  <si>
    <t xml:space="preserve">One person off sick in week 9</t>
  </si>
  <si>
    <t xml:space="preserve">CUT ORDER - agreed in advance</t>
  </si>
  <si>
    <t xml:space="preserve">When the schedule slips, cut from the top. Never negotiate this in the moment.</t>
  </si>
  <si>
    <t xml:space="preserve">Order</t>
  </si>
  <si>
    <t xml:space="preserve">Cut this</t>
  </si>
  <si>
    <t xml:space="preserve">Consequence</t>
  </si>
  <si>
    <t xml:space="preserve">Marketing console</t>
  </si>
  <si>
    <t xml:space="preserve">Manual process for the pilot</t>
  </si>
  <si>
    <t xml:space="preserve">Deferred to phase 2</t>
  </si>
  <si>
    <t xml:space="preserve">Admin console polish</t>
  </si>
  <si>
    <t xml:space="preserve">Functional but plain</t>
  </si>
  <si>
    <t xml:space="preserve">PV console polish</t>
  </si>
  <si>
    <t xml:space="preserve">Functional but plain. The SLA clock stays.</t>
  </si>
  <si>
    <t xml:space="preserve">History summary alone is enough for the pilot</t>
  </si>
  <si>
    <t xml:space="preserve">Field app: expenses, training, certification</t>
  </si>
  <si>
    <t xml:space="preserve">Manual for the pilot</t>
  </si>
  <si>
    <t xml:space="preserve">Patient app: my-visits, help screens</t>
  </si>
  <si>
    <t xml:space="preserve">Deferred</t>
  </si>
  <si>
    <t xml:space="preserve">NEVER CUT</t>
  </si>
  <si>
    <t xml:space="preserve">Phase 0 in any form</t>
  </si>
  <si>
    <t xml:space="preserve">The Phase 2 adverse-event gate</t>
  </si>
  <si>
    <t xml:space="preserve">Row-level security</t>
  </si>
  <si>
    <t xml:space="preserve">The audit log</t>
  </si>
  <si>
    <t xml:space="preserve">The AI output guard</t>
  </si>
  <si>
    <t xml:space="preserve">Patient-app accessibility</t>
  </si>
  <si>
    <t xml:space="preserve">The tracking transparency screen</t>
  </si>
  <si>
    <t xml:space="preserve">These six are the difference between a product and a liability.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</si>
</sst>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General"/>
    <numFmt numFmtId="167" formatCode="0.0%"/>
    <numFmt numFmtId="168" formatCode="ddd\ dd\-mmm"/>
    <numFmt numFmtId="169" formatCode="dd\ mmm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23A5E"/>
      <name val="Arial"/>
      <family val="0"/>
      <charset val="1"/>
    </font>
    <font>
      <sz val="9"/>
      <color rgb="FF5B6B7A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2"/>
      <color rgb="FF123A5E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E6FA8"/>
      <name val="Arial"/>
      <family val="0"/>
      <charset val="1"/>
    </font>
    <font>
      <b val="true"/>
      <sz val="10"/>
      <color rgb="FF0F7268"/>
      <name val="Arial"/>
      <family val="0"/>
      <charset val="1"/>
    </font>
    <font>
      <b val="true"/>
      <sz val="10"/>
      <color rgb="FF6B4E8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A6432F"/>
      <name val="Arial"/>
      <family val="0"/>
      <charset val="1"/>
    </font>
    <font>
      <b val="true"/>
      <sz val="11"/>
      <color rgb="FFA6432F"/>
      <name val="Arial"/>
      <family val="0"/>
      <charset val="1"/>
    </font>
    <font>
      <b val="true"/>
      <sz val="10"/>
      <color rgb="FFA6432F"/>
      <name val="Arial"/>
      <family val="0"/>
      <charset val="1"/>
    </font>
    <font>
      <b val="true"/>
      <sz val="11"/>
      <color rgb="FF1E6FA8"/>
      <name val="Arial"/>
      <family val="0"/>
      <charset val="1"/>
    </font>
    <font>
      <b val="true"/>
      <sz val="10"/>
      <color rgb="FF1F5C1F"/>
      <name val="Arial"/>
      <family val="0"/>
      <charset val="1"/>
    </font>
    <font>
      <b val="true"/>
      <sz val="12"/>
      <color rgb="FF1F5C1F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FFF3B0"/>
        <bgColor rgb="FFFFE9B0"/>
      </patternFill>
    </fill>
    <fill>
      <patternFill patternType="solid">
        <fgColor rgb="FFEAF2EA"/>
        <bgColor rgb="FFE6F2F0"/>
      </patternFill>
    </fill>
    <fill>
      <patternFill patternType="solid">
        <fgColor rgb="FF123A5E"/>
        <bgColor rgb="FF333399"/>
      </patternFill>
    </fill>
    <fill>
      <patternFill patternType="solid">
        <fgColor rgb="FFE8F0F7"/>
        <bgColor rgb="FFE8EEF3"/>
      </patternFill>
    </fill>
    <fill>
      <patternFill patternType="solid">
        <fgColor rgb="FFE6F2F0"/>
        <bgColor rgb="FFEAF2EA"/>
      </patternFill>
    </fill>
    <fill>
      <patternFill patternType="solid">
        <fgColor rgb="FFF0EBF7"/>
        <bgColor rgb="FFE8EEF3"/>
      </patternFill>
    </fill>
    <fill>
      <patternFill patternType="solid">
        <fgColor rgb="FFE8EEF3"/>
        <bgColor rgb="FFE8F0F7"/>
      </patternFill>
    </fill>
    <fill>
      <patternFill patternType="solid">
        <fgColor rgb="FFFDF3E6"/>
        <bgColor rgb="FFFBEFEC"/>
      </patternFill>
    </fill>
    <fill>
      <patternFill patternType="solid">
        <fgColor rgb="FFFBEFEC"/>
        <bgColor rgb="FFFDF3E6"/>
      </patternFill>
    </fill>
    <fill>
      <patternFill patternType="solid">
        <fgColor rgb="FFA6432F"/>
        <bgColor rgb="FF993366"/>
      </patternFill>
    </fill>
    <fill>
      <patternFill patternType="solid">
        <fgColor rgb="FF1E6FA8"/>
        <bgColor rgb="FF0F7268"/>
      </patternFill>
    </fill>
    <fill>
      <patternFill patternType="solid">
        <fgColor rgb="FFF7CFC7"/>
        <bgColor rgb="FFFFE9B0"/>
      </patternFill>
    </fill>
    <fill>
      <patternFill patternType="solid">
        <fgColor rgb="FFC9E5C9"/>
        <bgColor rgb="FFD3DDE6"/>
      </patternFill>
    </fill>
    <fill>
      <patternFill patternType="solid">
        <fgColor rgb="FFFFE9B0"/>
        <bgColor rgb="FFFFF3B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DE6"/>
      </left>
      <right style="thin">
        <color rgb="FFD3DDE6"/>
      </right>
      <top style="thin">
        <color rgb="FFD3DDE6"/>
      </top>
      <bottom style="thin">
        <color rgb="FFD3DD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23A5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A6432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6F2F0"/>
          <bgColor rgb="FF000000"/>
        </patternFill>
      </fill>
    </dxf>
    <dxf>
      <fill>
        <patternFill patternType="solid">
          <fgColor rgb="FFE8F0F7"/>
          <bgColor rgb="FF000000"/>
        </patternFill>
      </fill>
    </dxf>
    <dxf>
      <fill>
        <patternFill patternType="solid">
          <fgColor rgb="FFF0EBF7"/>
          <bgColor rgb="FF000000"/>
        </patternFill>
      </fill>
    </dxf>
    <dxf>
      <fill>
        <patternFill patternType="solid">
          <fgColor rgb="FFEAF2E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35593A"/>
          <bgColor rgb="FF000000"/>
        </patternFill>
      </fill>
    </dxf>
    <dxf>
      <fill>
        <patternFill patternType="solid">
          <fgColor rgb="FF8D99A4"/>
          <bgColor rgb="FF000000"/>
        </patternFill>
      </fill>
    </dxf>
    <dxf>
      <fill>
        <patternFill patternType="solid">
          <fgColor rgb="FFFFF3B0"/>
          <bgColor rgb="FF000000"/>
        </patternFill>
      </fill>
    </dxf>
    <dxf>
      <font>
        <name val="Arial"/>
        <charset val="1"/>
        <family val="0"/>
        <b val="1"/>
        <color rgb="FF1F5C1F"/>
        <sz val="10"/>
      </font>
      <fill>
        <patternFill>
          <bgColor rgb="FFC9E5C9"/>
        </patternFill>
      </fill>
    </dxf>
    <dxf>
      <font>
        <name val="Arial"/>
        <charset val="1"/>
        <family val="0"/>
        <b val="1"/>
        <color rgb="FF7A5A00"/>
        <sz val="10"/>
      </font>
      <fill>
        <patternFill>
          <bgColor rgb="FFFFE9B0"/>
        </patternFill>
      </fill>
    </dxf>
    <dxf>
      <font>
        <name val="Arial"/>
        <charset val="1"/>
        <family val="0"/>
        <b val="1"/>
        <color rgb="FFA6432F"/>
        <sz val="10"/>
      </font>
      <fill>
        <patternFill>
          <bgColor rgb="FFF7CFC7"/>
        </patternFill>
      </fill>
    </dxf>
    <dxf>
      <font>
        <name val="Arial"/>
        <charset val="1"/>
        <family val="0"/>
        <b val="1"/>
        <color rgb="FF35593A"/>
        <sz val="10"/>
      </font>
      <fill>
        <patternFill>
          <bgColor rgb="FFEAF2EA"/>
        </patternFill>
      </fill>
    </dxf>
    <dxf>
      <font>
        <name val="Arial"/>
        <charset val="1"/>
        <family val="0"/>
        <color rgb="FF8D99A4"/>
        <sz val="10"/>
      </font>
      <fill>
        <patternFill>
          <bgColor rgb="FFF2F2F2"/>
        </patternFill>
      </fill>
    </dxf>
    <dxf>
      <font>
        <name val="Arial"/>
        <charset val="1"/>
        <family val="0"/>
        <b val="1"/>
        <color rgb="FFA6432F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E9B0"/>
      <rgbColor rgb="FFFF00FF"/>
      <rgbColor rgb="FF00FFFF"/>
      <rgbColor rgb="FF800000"/>
      <rgbColor rgb="FF1F5C1F"/>
      <rgbColor rgb="FF000080"/>
      <rgbColor rgb="FF7A5A00"/>
      <rgbColor rgb="FF800080"/>
      <rgbColor rgb="FF0F7268"/>
      <rgbColor rgb="FFE8EEF3"/>
      <rgbColor rgb="FF808080"/>
      <rgbColor rgb="FF9999FF"/>
      <rgbColor rgb="FF6B4E8F"/>
      <rgbColor rgb="FFFDF3E6"/>
      <rgbColor rgb="FFE6F2F0"/>
      <rgbColor rgb="FF660066"/>
      <rgbColor rgb="FFFF8080"/>
      <rgbColor rgb="FF1E6FA8"/>
      <rgbColor rgb="FFD3DDE6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8F0F7"/>
      <rgbColor rgb="FFC9E5C9"/>
      <rgbColor rgb="FFFFF3B0"/>
      <rgbColor rgb="FFF0EBF7"/>
      <rgbColor rgb="FFFBEFEC"/>
      <rgbColor rgb="FFEAF2EA"/>
      <rgbColor rgb="FFF7CFC7"/>
      <rgbColor rgb="FF3366FF"/>
      <rgbColor rgb="FF33CCCC"/>
      <rgbColor rgb="FF99CC00"/>
      <rgbColor rgb="FFFFCC00"/>
      <rgbColor rgb="FFFF9900"/>
      <rgbColor rgb="FFFF6600"/>
      <rgbColor rgb="FF5B6B7A"/>
      <rgbColor rgb="FF8D99A4"/>
      <rgbColor rgb="FF123A5E"/>
      <rgbColor rgb="FF339966"/>
      <rgbColor rgb="FF003300"/>
      <rgbColor rgb="FF333300"/>
      <rgbColor rgb="FFA6432F"/>
      <rgbColor rgb="FF993366"/>
      <rgbColor rgb="FF333399"/>
      <rgbColor rgb="FF3559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6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2" t="s">
        <v>4</v>
      </c>
    </row>
    <row r="6" customFormat="false" ht="15" hidden="false" customHeight="false" outlineLevel="0" collapsed="false">
      <c r="A6" s="5" t="s">
        <v>5</v>
      </c>
    </row>
    <row r="7" customFormat="false" ht="15" hidden="false" customHeight="false" outlineLevel="0" collapsed="false">
      <c r="A7" s="6" t="s">
        <v>6</v>
      </c>
      <c r="B7" s="7" t="n">
        <f aca="false">COUNTA('Task Tracker'!A2:A200)</f>
        <v>103</v>
      </c>
    </row>
    <row r="8" customFormat="false" ht="15" hidden="false" customHeight="false" outlineLevel="0" collapsed="false">
      <c r="A8" s="6" t="s">
        <v>7</v>
      </c>
      <c r="B8" s="7" t="n">
        <f aca="false">COUNTIF('Task Tracker'!H2:H200,"Not Started")</f>
        <v>103</v>
      </c>
    </row>
    <row r="9" customFormat="false" ht="15" hidden="false" customHeight="false" outlineLevel="0" collapsed="false">
      <c r="A9" s="6" t="s">
        <v>8</v>
      </c>
      <c r="B9" s="7" t="n">
        <f aca="false">COUNTIF('Task Tracker'!H2:H200,"In Progress")</f>
        <v>0</v>
      </c>
    </row>
    <row r="10" customFormat="false" ht="15" hidden="false" customHeight="false" outlineLevel="0" collapsed="false">
      <c r="A10" s="6" t="s">
        <v>9</v>
      </c>
      <c r="B10" s="7" t="n">
        <f aca="false">COUNTIF('Task Tracker'!H2:H200,"Blocked")</f>
        <v>0</v>
      </c>
    </row>
    <row r="11" customFormat="false" ht="15" hidden="false" customHeight="false" outlineLevel="0" collapsed="false">
      <c r="A11" s="6" t="s">
        <v>10</v>
      </c>
      <c r="B11" s="7" t="n">
        <f aca="false">COUNTIF('Task Tracker'!H2:H200,"Done")</f>
        <v>0</v>
      </c>
    </row>
    <row r="12" customFormat="false" ht="15" hidden="false" customHeight="false" outlineLevel="0" collapsed="false">
      <c r="A12" s="3" t="s">
        <v>11</v>
      </c>
      <c r="B12" s="8" t="n">
        <f aca="false">COUNTIFS('Task Tracker'!G2:G200,"READY",'Task Tracker'!H2:H200,"Not Started")</f>
        <v>3</v>
      </c>
    </row>
    <row r="13" customFormat="false" ht="15" hidden="false" customHeight="false" outlineLevel="0" collapsed="false">
      <c r="A13" s="6" t="s">
        <v>12</v>
      </c>
      <c r="B13" s="7" t="n">
        <f aca="false">COUNTIF('Task Tracker'!G2:G200,"WAITING")</f>
        <v>100</v>
      </c>
    </row>
    <row r="14" customFormat="false" ht="15" hidden="false" customHeight="false" outlineLevel="0" collapsed="false">
      <c r="A14" s="3" t="s">
        <v>13</v>
      </c>
      <c r="B14" s="9" t="n">
        <f aca="false">IFERROR(COUNTIF('Task Tracker'!H2:H200,"Done")/COUNTA('Task Tracker'!A2:A200),0)</f>
        <v>0</v>
      </c>
    </row>
    <row r="16" customFormat="false" ht="15" hidden="false" customHeight="false" outlineLevel="0" collapsed="false">
      <c r="A16" s="5" t="s">
        <v>14</v>
      </c>
    </row>
    <row r="17" customFormat="false" ht="15" hidden="false" customHeight="false" outlineLevel="0" collapsed="false">
      <c r="A17" s="10" t="s">
        <v>15</v>
      </c>
      <c r="B17" s="7" t="str">
        <f aca="false">COUNTIF('Task Tracker'!D2:D200,"Backend")&amp;" tasks / "&amp;COUNTIFS('Task Tracker'!D2:D200,"Backend",'Task Tracker'!H2:H200,"Done")&amp;" done"</f>
        <v>39 tasks / 0 done</v>
      </c>
    </row>
    <row r="18" customFormat="false" ht="15" hidden="false" customHeight="false" outlineLevel="0" collapsed="false">
      <c r="A18" s="11" t="s">
        <v>16</v>
      </c>
      <c r="B18" s="7" t="str">
        <f aca="false">COUNTIF('Task Tracker'!D2:D200,"Frontend")&amp;" tasks / "&amp;COUNTIFS('Task Tracker'!D2:D200,"Frontend",'Task Tracker'!H2:H200,"Done")&amp;" done"</f>
        <v>33 tasks / 0 done</v>
      </c>
    </row>
    <row r="19" customFormat="false" ht="15" hidden="false" customHeight="false" outlineLevel="0" collapsed="false">
      <c r="A19" s="12" t="s">
        <v>17</v>
      </c>
      <c r="B19" s="7" t="str">
        <f aca="false">COUNTIF('Task Tracker'!D2:D200,"AI/Data")&amp;" tasks / "&amp;COUNTIFS('Task Tracker'!D2:D200,"AI/Data",'Task Tracker'!H2:H200,"Done")&amp;" done"</f>
        <v>31 tasks / 0 done</v>
      </c>
    </row>
    <row r="21" customFormat="false" ht="15" hidden="false" customHeight="false" outlineLevel="0" collapsed="false">
      <c r="A21" s="5" t="s">
        <v>18</v>
      </c>
    </row>
    <row r="22" customFormat="false" ht="25.5" hidden="false" customHeight="true" outlineLevel="0" collapsed="false">
      <c r="A22" s="3" t="s">
        <v>19</v>
      </c>
      <c r="C22" s="13" t="s">
        <v>20</v>
      </c>
    </row>
    <row r="23" customFormat="false" ht="25.5" hidden="false" customHeight="true" outlineLevel="0" collapsed="false">
      <c r="A23" s="3" t="s">
        <v>21</v>
      </c>
      <c r="C23" s="13" t="s">
        <v>22</v>
      </c>
    </row>
    <row r="24" customFormat="false" ht="25.5" hidden="false" customHeight="true" outlineLevel="0" collapsed="false">
      <c r="A24" s="3" t="s">
        <v>23</v>
      </c>
      <c r="C24" s="13" t="s">
        <v>24</v>
      </c>
    </row>
    <row r="25" customFormat="false" ht="25.5" hidden="false" customHeight="true" outlineLevel="0" collapsed="false">
      <c r="A25" s="3" t="s">
        <v>25</v>
      </c>
      <c r="C25" s="13" t="s">
        <v>26</v>
      </c>
    </row>
    <row r="26" customFormat="false" ht="25.5" hidden="false" customHeight="true" outlineLevel="0" collapsed="false">
      <c r="A26" s="3" t="s">
        <v>27</v>
      </c>
      <c r="C26" s="13" t="s">
        <v>28</v>
      </c>
    </row>
    <row r="27" customFormat="false" ht="25.5" hidden="false" customHeight="true" outlineLevel="0" collapsed="false">
      <c r="A27" s="3" t="s">
        <v>29</v>
      </c>
      <c r="C27" s="13" t="s">
        <v>30</v>
      </c>
    </row>
    <row r="28" customFormat="false" ht="25.5" hidden="false" customHeight="true" outlineLevel="0" collapsed="false">
      <c r="A28" s="3" t="s">
        <v>31</v>
      </c>
      <c r="C28" s="13" t="s">
        <v>32</v>
      </c>
    </row>
    <row r="29" customFormat="false" ht="25.5" hidden="false" customHeight="true" outlineLevel="0" collapsed="false">
      <c r="A29" s="3" t="s">
        <v>33</v>
      </c>
      <c r="C29" s="13" t="s">
        <v>34</v>
      </c>
    </row>
    <row r="30" customFormat="false" ht="25.5" hidden="false" customHeight="true" outlineLevel="0" collapsed="false">
      <c r="A30" s="3" t="s">
        <v>35</v>
      </c>
      <c r="C30" s="13" t="s">
        <v>36</v>
      </c>
    </row>
    <row r="31" customFormat="false" ht="25.5" hidden="false" customHeight="true" outlineLevel="0" collapsed="false">
      <c r="A31" s="3" t="s">
        <v>37</v>
      </c>
      <c r="C31" s="13" t="s">
        <v>38</v>
      </c>
    </row>
    <row r="33" customFormat="false" ht="15" hidden="false" customHeight="false" outlineLevel="0" collapsed="false">
      <c r="A33" s="14" t="s">
        <v>39</v>
      </c>
      <c r="C33" s="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54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42"/>
  </cols>
  <sheetData>
    <row r="1" customFormat="false" ht="15" hidden="false" customHeight="false" outlineLevel="0" collapsed="false">
      <c r="A1" s="15" t="s">
        <v>41</v>
      </c>
      <c r="B1" s="15" t="s">
        <v>42</v>
      </c>
      <c r="C1" s="15" t="s">
        <v>43</v>
      </c>
      <c r="D1" s="15" t="s">
        <v>44</v>
      </c>
      <c r="E1" s="15" t="s">
        <v>45</v>
      </c>
      <c r="F1" s="15" t="s">
        <v>46</v>
      </c>
      <c r="G1" s="15" t="s">
        <v>47</v>
      </c>
      <c r="H1" s="15" t="s">
        <v>48</v>
      </c>
      <c r="I1" s="15" t="s">
        <v>49</v>
      </c>
      <c r="J1" s="15" t="s">
        <v>50</v>
      </c>
      <c r="K1" s="15" t="s">
        <v>51</v>
      </c>
      <c r="L1" s="15" t="s">
        <v>52</v>
      </c>
    </row>
    <row r="2" customFormat="false" ht="27.75" hidden="false" customHeight="true" outlineLevel="0" collapsed="false">
      <c r="A2" s="16" t="s">
        <v>53</v>
      </c>
      <c r="B2" s="17" t="n">
        <v>1</v>
      </c>
      <c r="C2" s="16" t="s">
        <v>54</v>
      </c>
      <c r="D2" s="18" t="s">
        <v>15</v>
      </c>
      <c r="E2" s="19" t="s">
        <v>55</v>
      </c>
      <c r="F2" s="17" t="s">
        <v>56</v>
      </c>
      <c r="G2" s="17" t="str">
        <f aca="false">IF($F2="—","READY",IF(IFERROR(INDEX($H$2:$H$200,MATCH($F2,$A$2:$A$200,0)),"")="Done","READY","WAITING"))</f>
        <v>READY</v>
      </c>
      <c r="H2" s="20" t="s">
        <v>7</v>
      </c>
      <c r="I2" s="21"/>
      <c r="J2" s="22" t="n">
        <f aca="false">'Read Me'!$B$4+($B2-1)*7</f>
        <v>46244</v>
      </c>
      <c r="K2" s="22" t="n">
        <f aca="false">J2+6</f>
        <v>46250</v>
      </c>
      <c r="L2" s="19"/>
    </row>
    <row r="3" customFormat="false" ht="27.75" hidden="false" customHeight="true" outlineLevel="0" collapsed="false">
      <c r="A3" s="16" t="s">
        <v>57</v>
      </c>
      <c r="B3" s="17" t="n">
        <v>1</v>
      </c>
      <c r="C3" s="16" t="s">
        <v>54</v>
      </c>
      <c r="D3" s="18" t="s">
        <v>15</v>
      </c>
      <c r="E3" s="19" t="s">
        <v>58</v>
      </c>
      <c r="F3" s="17" t="s">
        <v>53</v>
      </c>
      <c r="G3" s="17" t="str">
        <f aca="false">IF($F3="—","READY",IF(IFERROR(INDEX($H$2:$H$200,MATCH($F3,$A$2:$A$200,0)),"")="Done","READY","WAITING"))</f>
        <v>WAITING</v>
      </c>
      <c r="H3" s="20" t="s">
        <v>7</v>
      </c>
      <c r="I3" s="21"/>
      <c r="J3" s="22" t="n">
        <f aca="false">'Read Me'!$B$4+($B3-1)*7</f>
        <v>46244</v>
      </c>
      <c r="K3" s="22" t="n">
        <f aca="false">J3+6</f>
        <v>46250</v>
      </c>
      <c r="L3" s="19"/>
    </row>
    <row r="4" customFormat="false" ht="27.75" hidden="false" customHeight="true" outlineLevel="0" collapsed="false">
      <c r="A4" s="16" t="s">
        <v>59</v>
      </c>
      <c r="B4" s="17" t="n">
        <v>1</v>
      </c>
      <c r="C4" s="16" t="s">
        <v>54</v>
      </c>
      <c r="D4" s="18" t="s">
        <v>15</v>
      </c>
      <c r="E4" s="19" t="s">
        <v>60</v>
      </c>
      <c r="F4" s="17" t="s">
        <v>56</v>
      </c>
      <c r="G4" s="17" t="str">
        <f aca="false">IF($F4="—","READY",IF(IFERROR(INDEX($H$2:$H$200,MATCH($F4,$A$2:$A$200,0)),"")="Done","READY","WAITING"))</f>
        <v>READY</v>
      </c>
      <c r="H4" s="20" t="s">
        <v>7</v>
      </c>
      <c r="I4" s="21"/>
      <c r="J4" s="22" t="n">
        <f aca="false">'Read Me'!$B$4+($B4-1)*7</f>
        <v>46244</v>
      </c>
      <c r="K4" s="22" t="n">
        <f aca="false">J4+6</f>
        <v>46250</v>
      </c>
      <c r="L4" s="19" t="s">
        <v>61</v>
      </c>
    </row>
    <row r="5" customFormat="false" ht="27.75" hidden="false" customHeight="true" outlineLevel="0" collapsed="false">
      <c r="A5" s="16" t="s">
        <v>62</v>
      </c>
      <c r="B5" s="17" t="n">
        <v>1</v>
      </c>
      <c r="C5" s="16" t="s">
        <v>54</v>
      </c>
      <c r="D5" s="18" t="s">
        <v>15</v>
      </c>
      <c r="E5" s="19" t="s">
        <v>63</v>
      </c>
      <c r="F5" s="17" t="s">
        <v>59</v>
      </c>
      <c r="G5" s="17" t="str">
        <f aca="false">IF($F5="—","READY",IF(IFERROR(INDEX($H$2:$H$200,MATCH($F5,$A$2:$A$200,0)),"")="Done","READY","WAITING"))</f>
        <v>WAITING</v>
      </c>
      <c r="H5" s="20" t="s">
        <v>7</v>
      </c>
      <c r="I5" s="21"/>
      <c r="J5" s="22" t="n">
        <f aca="false">'Read Me'!$B$4+($B5-1)*7</f>
        <v>46244</v>
      </c>
      <c r="K5" s="22" t="n">
        <f aca="false">J5+6</f>
        <v>46250</v>
      </c>
      <c r="L5" s="19"/>
    </row>
    <row r="6" customFormat="false" ht="27.75" hidden="false" customHeight="true" outlineLevel="0" collapsed="false">
      <c r="A6" s="16" t="s">
        <v>64</v>
      </c>
      <c r="B6" s="17" t="n">
        <v>1</v>
      </c>
      <c r="C6" s="16" t="s">
        <v>54</v>
      </c>
      <c r="D6" s="18" t="s">
        <v>15</v>
      </c>
      <c r="E6" s="19" t="s">
        <v>65</v>
      </c>
      <c r="F6" s="17" t="s">
        <v>62</v>
      </c>
      <c r="G6" s="17" t="str">
        <f aca="false">IF($F6="—","READY",IF(IFERROR(INDEX($H$2:$H$200,MATCH($F6,$A$2:$A$200,0)),"")="Done","READY","WAITING"))</f>
        <v>WAITING</v>
      </c>
      <c r="H6" s="20" t="s">
        <v>7</v>
      </c>
      <c r="I6" s="21"/>
      <c r="J6" s="22" t="n">
        <f aca="false">'Read Me'!$B$4+($B6-1)*7</f>
        <v>46244</v>
      </c>
      <c r="K6" s="22" t="n">
        <f aca="false">J6+6</f>
        <v>46250</v>
      </c>
      <c r="L6" s="19" t="s">
        <v>66</v>
      </c>
    </row>
    <row r="7" customFormat="false" ht="27.75" hidden="false" customHeight="true" outlineLevel="0" collapsed="false">
      <c r="A7" s="16" t="s">
        <v>67</v>
      </c>
      <c r="B7" s="17" t="n">
        <v>1</v>
      </c>
      <c r="C7" s="16" t="s">
        <v>54</v>
      </c>
      <c r="D7" s="23" t="s">
        <v>16</v>
      </c>
      <c r="E7" s="19" t="s">
        <v>68</v>
      </c>
      <c r="F7" s="17" t="s">
        <v>53</v>
      </c>
      <c r="G7" s="17" t="str">
        <f aca="false">IF($F7="—","READY",IF(IFERROR(INDEX($H$2:$H$200,MATCH($F7,$A$2:$A$200,0)),"")="Done","READY","WAITING"))</f>
        <v>WAITING</v>
      </c>
      <c r="H7" s="20" t="s">
        <v>7</v>
      </c>
      <c r="I7" s="21"/>
      <c r="J7" s="22" t="n">
        <f aca="false">'Read Me'!$B$4+($B7-1)*7</f>
        <v>46244</v>
      </c>
      <c r="K7" s="22" t="n">
        <f aca="false">J7+6</f>
        <v>46250</v>
      </c>
      <c r="L7" s="19"/>
    </row>
    <row r="8" customFormat="false" ht="27.75" hidden="false" customHeight="true" outlineLevel="0" collapsed="false">
      <c r="A8" s="16" t="s">
        <v>69</v>
      </c>
      <c r="B8" s="17" t="n">
        <v>1</v>
      </c>
      <c r="C8" s="16" t="s">
        <v>54</v>
      </c>
      <c r="D8" s="23" t="s">
        <v>16</v>
      </c>
      <c r="E8" s="19" t="s">
        <v>70</v>
      </c>
      <c r="F8" s="17" t="s">
        <v>53</v>
      </c>
      <c r="G8" s="17" t="str">
        <f aca="false">IF($F8="—","READY",IF(IFERROR(INDEX($H$2:$H$200,MATCH($F8,$A$2:$A$200,0)),"")="Done","READY","WAITING"))</f>
        <v>WAITING</v>
      </c>
      <c r="H8" s="20" t="s">
        <v>7</v>
      </c>
      <c r="I8" s="21"/>
      <c r="J8" s="22" t="n">
        <f aca="false">'Read Me'!$B$4+($B8-1)*7</f>
        <v>46244</v>
      </c>
      <c r="K8" s="22" t="n">
        <f aca="false">J8+6</f>
        <v>46250</v>
      </c>
      <c r="L8" s="19"/>
    </row>
    <row r="9" customFormat="false" ht="27.75" hidden="false" customHeight="true" outlineLevel="0" collapsed="false">
      <c r="A9" s="16" t="s">
        <v>71</v>
      </c>
      <c r="B9" s="17" t="n">
        <v>1</v>
      </c>
      <c r="C9" s="16" t="s">
        <v>54</v>
      </c>
      <c r="D9" s="23" t="s">
        <v>16</v>
      </c>
      <c r="E9" s="19" t="s">
        <v>72</v>
      </c>
      <c r="F9" s="17" t="s">
        <v>69</v>
      </c>
      <c r="G9" s="17" t="str">
        <f aca="false">IF($F9="—","READY",IF(IFERROR(INDEX($H$2:$H$200,MATCH($F9,$A$2:$A$200,0)),"")="Done","READY","WAITING"))</f>
        <v>WAITING</v>
      </c>
      <c r="H9" s="20" t="s">
        <v>7</v>
      </c>
      <c r="I9" s="21"/>
      <c r="J9" s="22" t="n">
        <f aca="false">'Read Me'!$B$4+($B9-1)*7</f>
        <v>46244</v>
      </c>
      <c r="K9" s="22" t="n">
        <f aca="false">J9+6</f>
        <v>46250</v>
      </c>
      <c r="L9" s="19" t="s">
        <v>73</v>
      </c>
    </row>
    <row r="10" customFormat="false" ht="27.75" hidden="false" customHeight="true" outlineLevel="0" collapsed="false">
      <c r="A10" s="16" t="s">
        <v>74</v>
      </c>
      <c r="B10" s="17" t="n">
        <v>1</v>
      </c>
      <c r="C10" s="16" t="s">
        <v>54</v>
      </c>
      <c r="D10" s="24" t="s">
        <v>17</v>
      </c>
      <c r="E10" s="19" t="s">
        <v>75</v>
      </c>
      <c r="F10" s="17" t="s">
        <v>56</v>
      </c>
      <c r="G10" s="17" t="str">
        <f aca="false">IF($F10="—","READY",IF(IFERROR(INDEX($H$2:$H$200,MATCH($F10,$A$2:$A$200,0)),"")="Done","READY","WAITING"))</f>
        <v>READY</v>
      </c>
      <c r="H10" s="20" t="s">
        <v>7</v>
      </c>
      <c r="I10" s="21"/>
      <c r="J10" s="22" t="n">
        <f aca="false">'Read Me'!$B$4+($B10-1)*7</f>
        <v>46244</v>
      </c>
      <c r="K10" s="22" t="n">
        <f aca="false">J10+6</f>
        <v>46250</v>
      </c>
      <c r="L10" s="19" t="s">
        <v>76</v>
      </c>
    </row>
    <row r="11" customFormat="false" ht="27.75" hidden="false" customHeight="true" outlineLevel="0" collapsed="false">
      <c r="A11" s="16" t="s">
        <v>77</v>
      </c>
      <c r="B11" s="17" t="n">
        <v>1</v>
      </c>
      <c r="C11" s="16" t="s">
        <v>54</v>
      </c>
      <c r="D11" s="24" t="s">
        <v>17</v>
      </c>
      <c r="E11" s="19" t="s">
        <v>78</v>
      </c>
      <c r="F11" s="17" t="s">
        <v>74</v>
      </c>
      <c r="G11" s="17" t="str">
        <f aca="false">IF($F11="—","READY",IF(IFERROR(INDEX($H$2:$H$200,MATCH($F11,$A$2:$A$200,0)),"")="Done","READY","WAITING"))</f>
        <v>WAITING</v>
      </c>
      <c r="H11" s="20" t="s">
        <v>7</v>
      </c>
      <c r="I11" s="21"/>
      <c r="J11" s="22" t="n">
        <f aca="false">'Read Me'!$B$4+($B11-1)*7</f>
        <v>46244</v>
      </c>
      <c r="K11" s="22" t="n">
        <f aca="false">J11+6</f>
        <v>46250</v>
      </c>
      <c r="L11" s="19" t="s">
        <v>79</v>
      </c>
    </row>
    <row r="12" customFormat="false" ht="27.75" hidden="false" customHeight="true" outlineLevel="0" collapsed="false">
      <c r="A12" s="16" t="s">
        <v>80</v>
      </c>
      <c r="B12" s="17" t="n">
        <v>2</v>
      </c>
      <c r="C12" s="16" t="s">
        <v>54</v>
      </c>
      <c r="D12" s="18" t="s">
        <v>15</v>
      </c>
      <c r="E12" s="19" t="s">
        <v>81</v>
      </c>
      <c r="F12" s="17" t="s">
        <v>62</v>
      </c>
      <c r="G12" s="17" t="str">
        <f aca="false">IF($F12="—","READY",IF(IFERROR(INDEX($H$2:$H$200,MATCH($F12,$A$2:$A$200,0)),"")="Done","READY","WAITING"))</f>
        <v>WAITING</v>
      </c>
      <c r="H12" s="20" t="s">
        <v>7</v>
      </c>
      <c r="I12" s="21"/>
      <c r="J12" s="22" t="n">
        <f aca="false">'Read Me'!$B$4+($B12-1)*7</f>
        <v>46251</v>
      </c>
      <c r="K12" s="22" t="n">
        <f aca="false">J12+6</f>
        <v>46257</v>
      </c>
      <c r="L12" s="19"/>
    </row>
    <row r="13" customFormat="false" ht="27.75" hidden="false" customHeight="true" outlineLevel="0" collapsed="false">
      <c r="A13" s="16" t="s">
        <v>82</v>
      </c>
      <c r="B13" s="17" t="n">
        <v>2</v>
      </c>
      <c r="C13" s="16" t="s">
        <v>54</v>
      </c>
      <c r="D13" s="18" t="s">
        <v>15</v>
      </c>
      <c r="E13" s="19" t="s">
        <v>83</v>
      </c>
      <c r="F13" s="17" t="s">
        <v>80</v>
      </c>
      <c r="G13" s="17" t="str">
        <f aca="false">IF($F13="—","READY",IF(IFERROR(INDEX($H$2:$H$200,MATCH($F13,$A$2:$A$200,0)),"")="Done","READY","WAITING"))</f>
        <v>WAITING</v>
      </c>
      <c r="H13" s="20" t="s">
        <v>7</v>
      </c>
      <c r="I13" s="21"/>
      <c r="J13" s="22" t="n">
        <f aca="false">'Read Me'!$B$4+($B13-1)*7</f>
        <v>46251</v>
      </c>
      <c r="K13" s="22" t="n">
        <f aca="false">J13+6</f>
        <v>46257</v>
      </c>
      <c r="L13" s="19" t="s">
        <v>84</v>
      </c>
    </row>
    <row r="14" customFormat="false" ht="27.75" hidden="false" customHeight="true" outlineLevel="0" collapsed="false">
      <c r="A14" s="16" t="s">
        <v>85</v>
      </c>
      <c r="B14" s="17" t="n">
        <v>2</v>
      </c>
      <c r="C14" s="16" t="s">
        <v>54</v>
      </c>
      <c r="D14" s="18" t="s">
        <v>15</v>
      </c>
      <c r="E14" s="19" t="s">
        <v>86</v>
      </c>
      <c r="F14" s="17" t="s">
        <v>82</v>
      </c>
      <c r="G14" s="17" t="str">
        <f aca="false">IF($F14="—","READY",IF(IFERROR(INDEX($H$2:$H$200,MATCH($F14,$A$2:$A$200,0)),"")="Done","READY","WAITING"))</f>
        <v>WAITING</v>
      </c>
      <c r="H14" s="20" t="s">
        <v>7</v>
      </c>
      <c r="I14" s="21"/>
      <c r="J14" s="22" t="n">
        <f aca="false">'Read Me'!$B$4+($B14-1)*7</f>
        <v>46251</v>
      </c>
      <c r="K14" s="22" t="n">
        <f aca="false">J14+6</f>
        <v>46257</v>
      </c>
      <c r="L14" s="19" t="s">
        <v>87</v>
      </c>
    </row>
    <row r="15" customFormat="false" ht="27.75" hidden="false" customHeight="true" outlineLevel="0" collapsed="false">
      <c r="A15" s="16" t="s">
        <v>88</v>
      </c>
      <c r="B15" s="17" t="n">
        <v>2</v>
      </c>
      <c r="C15" s="16" t="s">
        <v>54</v>
      </c>
      <c r="D15" s="18" t="s">
        <v>15</v>
      </c>
      <c r="E15" s="19" t="s">
        <v>89</v>
      </c>
      <c r="F15" s="17" t="s">
        <v>85</v>
      </c>
      <c r="G15" s="17" t="str">
        <f aca="false">IF($F15="—","READY",IF(IFERROR(INDEX($H$2:$H$200,MATCH($F15,$A$2:$A$200,0)),"")="Done","READY","WAITING"))</f>
        <v>WAITING</v>
      </c>
      <c r="H15" s="20" t="s">
        <v>7</v>
      </c>
      <c r="I15" s="21"/>
      <c r="J15" s="22" t="n">
        <f aca="false">'Read Me'!$B$4+($B15-1)*7</f>
        <v>46251</v>
      </c>
      <c r="K15" s="22" t="n">
        <f aca="false">J15+6</f>
        <v>46257</v>
      </c>
      <c r="L15" s="19"/>
    </row>
    <row r="16" customFormat="false" ht="27.75" hidden="false" customHeight="true" outlineLevel="0" collapsed="false">
      <c r="A16" s="16" t="s">
        <v>90</v>
      </c>
      <c r="B16" s="17" t="n">
        <v>2</v>
      </c>
      <c r="C16" s="16" t="s">
        <v>54</v>
      </c>
      <c r="D16" s="18" t="s">
        <v>15</v>
      </c>
      <c r="E16" s="19" t="s">
        <v>91</v>
      </c>
      <c r="F16" s="17" t="s">
        <v>85</v>
      </c>
      <c r="G16" s="17" t="str">
        <f aca="false">IF($F16="—","READY",IF(IFERROR(INDEX($H$2:$H$200,MATCH($F16,$A$2:$A$200,0)),"")="Done","READY","WAITING"))</f>
        <v>WAITING</v>
      </c>
      <c r="H16" s="20" t="s">
        <v>7</v>
      </c>
      <c r="I16" s="21"/>
      <c r="J16" s="22" t="n">
        <f aca="false">'Read Me'!$B$4+($B16-1)*7</f>
        <v>46251</v>
      </c>
      <c r="K16" s="22" t="n">
        <f aca="false">J16+6</f>
        <v>46257</v>
      </c>
      <c r="L16" s="19"/>
    </row>
    <row r="17" customFormat="false" ht="27.75" hidden="false" customHeight="true" outlineLevel="0" collapsed="false">
      <c r="A17" s="16" t="s">
        <v>92</v>
      </c>
      <c r="B17" s="17" t="n">
        <v>2</v>
      </c>
      <c r="C17" s="16" t="s">
        <v>54</v>
      </c>
      <c r="D17" s="18" t="s">
        <v>15</v>
      </c>
      <c r="E17" s="19" t="s">
        <v>93</v>
      </c>
      <c r="F17" s="17" t="s">
        <v>64</v>
      </c>
      <c r="G17" s="17" t="str">
        <f aca="false">IF($F17="—","READY",IF(IFERROR(INDEX($H$2:$H$200,MATCH($F17,$A$2:$A$200,0)),"")="Done","READY","WAITING"))</f>
        <v>WAITING</v>
      </c>
      <c r="H17" s="20" t="s">
        <v>7</v>
      </c>
      <c r="I17" s="21"/>
      <c r="J17" s="22" t="n">
        <f aca="false">'Read Me'!$B$4+($B17-1)*7</f>
        <v>46251</v>
      </c>
      <c r="K17" s="22" t="n">
        <f aca="false">J17+6</f>
        <v>46257</v>
      </c>
      <c r="L17" s="19" t="s">
        <v>94</v>
      </c>
    </row>
    <row r="18" customFormat="false" ht="27.75" hidden="false" customHeight="true" outlineLevel="0" collapsed="false">
      <c r="A18" s="16" t="s">
        <v>95</v>
      </c>
      <c r="B18" s="17" t="n">
        <v>2</v>
      </c>
      <c r="C18" s="16" t="s">
        <v>54</v>
      </c>
      <c r="D18" s="18" t="s">
        <v>15</v>
      </c>
      <c r="E18" s="19" t="s">
        <v>96</v>
      </c>
      <c r="F18" s="17" t="s">
        <v>85</v>
      </c>
      <c r="G18" s="17" t="str">
        <f aca="false">IF($F18="—","READY",IF(IFERROR(INDEX($H$2:$H$200,MATCH($F18,$A$2:$A$200,0)),"")="Done","READY","WAITING"))</f>
        <v>WAITING</v>
      </c>
      <c r="H18" s="20" t="s">
        <v>7</v>
      </c>
      <c r="I18" s="21"/>
      <c r="J18" s="22" t="n">
        <f aca="false">'Read Me'!$B$4+($B18-1)*7</f>
        <v>46251</v>
      </c>
      <c r="K18" s="22" t="n">
        <f aca="false">J18+6</f>
        <v>46257</v>
      </c>
      <c r="L18" s="19" t="s">
        <v>97</v>
      </c>
    </row>
    <row r="19" customFormat="false" ht="27.75" hidden="false" customHeight="true" outlineLevel="0" collapsed="false">
      <c r="A19" s="16" t="s">
        <v>98</v>
      </c>
      <c r="B19" s="17" t="n">
        <v>2</v>
      </c>
      <c r="C19" s="16" t="s">
        <v>54</v>
      </c>
      <c r="D19" s="23" t="s">
        <v>16</v>
      </c>
      <c r="E19" s="19" t="s">
        <v>99</v>
      </c>
      <c r="F19" s="17" t="s">
        <v>71</v>
      </c>
      <c r="G19" s="17" t="str">
        <f aca="false">IF($F19="—","READY",IF(IFERROR(INDEX($H$2:$H$200,MATCH($F19,$A$2:$A$200,0)),"")="Done","READY","WAITING"))</f>
        <v>WAITING</v>
      </c>
      <c r="H19" s="20" t="s">
        <v>7</v>
      </c>
      <c r="I19" s="21"/>
      <c r="J19" s="22" t="n">
        <f aca="false">'Read Me'!$B$4+($B19-1)*7</f>
        <v>46251</v>
      </c>
      <c r="K19" s="22" t="n">
        <f aca="false">J19+6</f>
        <v>46257</v>
      </c>
      <c r="L19" s="19"/>
    </row>
    <row r="20" customFormat="false" ht="27.75" hidden="false" customHeight="true" outlineLevel="0" collapsed="false">
      <c r="A20" s="16" t="s">
        <v>100</v>
      </c>
      <c r="B20" s="17" t="n">
        <v>2</v>
      </c>
      <c r="C20" s="16" t="s">
        <v>54</v>
      </c>
      <c r="D20" s="23" t="s">
        <v>16</v>
      </c>
      <c r="E20" s="19" t="s">
        <v>101</v>
      </c>
      <c r="F20" s="17" t="s">
        <v>98</v>
      </c>
      <c r="G20" s="17" t="str">
        <f aca="false">IF($F20="—","READY",IF(IFERROR(INDEX($H$2:$H$200,MATCH($F20,$A$2:$A$200,0)),"")="Done","READY","WAITING"))</f>
        <v>WAITING</v>
      </c>
      <c r="H20" s="20" t="s">
        <v>7</v>
      </c>
      <c r="I20" s="21"/>
      <c r="J20" s="22" t="n">
        <f aca="false">'Read Me'!$B$4+($B20-1)*7</f>
        <v>46251</v>
      </c>
      <c r="K20" s="22" t="n">
        <f aca="false">J20+6</f>
        <v>46257</v>
      </c>
      <c r="L20" s="19" t="s">
        <v>102</v>
      </c>
    </row>
    <row r="21" customFormat="false" ht="27.75" hidden="false" customHeight="true" outlineLevel="0" collapsed="false">
      <c r="A21" s="16" t="s">
        <v>103</v>
      </c>
      <c r="B21" s="17" t="n">
        <v>2</v>
      </c>
      <c r="C21" s="16" t="s">
        <v>54</v>
      </c>
      <c r="D21" s="23" t="s">
        <v>16</v>
      </c>
      <c r="E21" s="19" t="s">
        <v>104</v>
      </c>
      <c r="F21" s="17" t="s">
        <v>92</v>
      </c>
      <c r="G21" s="17" t="str">
        <f aca="false">IF($F21="—","READY",IF(IFERROR(INDEX($H$2:$H$200,MATCH($F21,$A$2:$A$200,0)),"")="Done","READY","WAITING"))</f>
        <v>WAITING</v>
      </c>
      <c r="H21" s="20" t="s">
        <v>7</v>
      </c>
      <c r="I21" s="21"/>
      <c r="J21" s="22" t="n">
        <f aca="false">'Read Me'!$B$4+($B21-1)*7</f>
        <v>46251</v>
      </c>
      <c r="K21" s="22" t="n">
        <f aca="false">J21+6</f>
        <v>46257</v>
      </c>
      <c r="L21" s="19" t="s">
        <v>105</v>
      </c>
    </row>
    <row r="22" customFormat="false" ht="27.75" hidden="false" customHeight="true" outlineLevel="0" collapsed="false">
      <c r="A22" s="16" t="s">
        <v>106</v>
      </c>
      <c r="B22" s="17" t="n">
        <v>2</v>
      </c>
      <c r="C22" s="16" t="s">
        <v>54</v>
      </c>
      <c r="D22" s="24" t="s">
        <v>17</v>
      </c>
      <c r="E22" s="19" t="s">
        <v>107</v>
      </c>
      <c r="F22" s="17" t="s">
        <v>77</v>
      </c>
      <c r="G22" s="17" t="str">
        <f aca="false">IF($F22="—","READY",IF(IFERROR(INDEX($H$2:$H$200,MATCH($F22,$A$2:$A$200,0)),"")="Done","READY","WAITING"))</f>
        <v>WAITING</v>
      </c>
      <c r="H22" s="20" t="s">
        <v>7</v>
      </c>
      <c r="I22" s="21"/>
      <c r="J22" s="22" t="n">
        <f aca="false">'Read Me'!$B$4+($B22-1)*7</f>
        <v>46251</v>
      </c>
      <c r="K22" s="22" t="n">
        <f aca="false">J22+6</f>
        <v>46257</v>
      </c>
      <c r="L22" s="19"/>
    </row>
    <row r="23" customFormat="false" ht="27.75" hidden="false" customHeight="true" outlineLevel="0" collapsed="false">
      <c r="A23" s="16" t="s">
        <v>108</v>
      </c>
      <c r="B23" s="17" t="n">
        <v>2</v>
      </c>
      <c r="C23" s="16" t="s">
        <v>54</v>
      </c>
      <c r="D23" s="24" t="s">
        <v>17</v>
      </c>
      <c r="E23" s="19" t="s">
        <v>109</v>
      </c>
      <c r="F23" s="17" t="s">
        <v>77</v>
      </c>
      <c r="G23" s="17" t="str">
        <f aca="false">IF($F23="—","READY",IF(IFERROR(INDEX($H$2:$H$200,MATCH($F23,$A$2:$A$200,0)),"")="Done","READY","WAITING"))</f>
        <v>WAITING</v>
      </c>
      <c r="H23" s="20" t="s">
        <v>7</v>
      </c>
      <c r="I23" s="21"/>
      <c r="J23" s="22" t="n">
        <f aca="false">'Read Me'!$B$4+($B23-1)*7</f>
        <v>46251</v>
      </c>
      <c r="K23" s="22" t="n">
        <f aca="false">J23+6</f>
        <v>46257</v>
      </c>
      <c r="L23" s="19" t="s">
        <v>110</v>
      </c>
    </row>
    <row r="24" customFormat="false" ht="27.75" hidden="false" customHeight="true" outlineLevel="0" collapsed="false">
      <c r="A24" s="16" t="s">
        <v>111</v>
      </c>
      <c r="B24" s="17" t="n">
        <v>3</v>
      </c>
      <c r="C24" s="16" t="s">
        <v>112</v>
      </c>
      <c r="D24" s="18" t="s">
        <v>15</v>
      </c>
      <c r="E24" s="19" t="s">
        <v>113</v>
      </c>
      <c r="F24" s="17" t="s">
        <v>95</v>
      </c>
      <c r="G24" s="17" t="str">
        <f aca="false">IF($F24="—","READY",IF(IFERROR(INDEX($H$2:$H$200,MATCH($F24,$A$2:$A$200,0)),"")="Done","READY","WAITING"))</f>
        <v>WAITING</v>
      </c>
      <c r="H24" s="20" t="s">
        <v>7</v>
      </c>
      <c r="I24" s="21"/>
      <c r="J24" s="22" t="n">
        <f aca="false">'Read Me'!$B$4+($B24-1)*7</f>
        <v>46258</v>
      </c>
      <c r="K24" s="22" t="n">
        <f aca="false">J24+6</f>
        <v>46264</v>
      </c>
      <c r="L24" s="19"/>
    </row>
    <row r="25" customFormat="false" ht="27.75" hidden="false" customHeight="true" outlineLevel="0" collapsed="false">
      <c r="A25" s="16" t="s">
        <v>114</v>
      </c>
      <c r="B25" s="17" t="n">
        <v>3</v>
      </c>
      <c r="C25" s="16" t="s">
        <v>112</v>
      </c>
      <c r="D25" s="18" t="s">
        <v>15</v>
      </c>
      <c r="E25" s="19" t="s">
        <v>115</v>
      </c>
      <c r="F25" s="17" t="s">
        <v>111</v>
      </c>
      <c r="G25" s="17" t="str">
        <f aca="false">IF($F25="—","READY",IF(IFERROR(INDEX($H$2:$H$200,MATCH($F25,$A$2:$A$200,0)),"")="Done","READY","WAITING"))</f>
        <v>WAITING</v>
      </c>
      <c r="H25" s="20" t="s">
        <v>7</v>
      </c>
      <c r="I25" s="21"/>
      <c r="J25" s="22" t="n">
        <f aca="false">'Read Me'!$B$4+($B25-1)*7</f>
        <v>46258</v>
      </c>
      <c r="K25" s="22" t="n">
        <f aca="false">J25+6</f>
        <v>46264</v>
      </c>
      <c r="L25" s="19" t="s">
        <v>116</v>
      </c>
    </row>
    <row r="26" customFormat="false" ht="27.75" hidden="false" customHeight="true" outlineLevel="0" collapsed="false">
      <c r="A26" s="16" t="s">
        <v>117</v>
      </c>
      <c r="B26" s="17" t="n">
        <v>3</v>
      </c>
      <c r="C26" s="16" t="s">
        <v>112</v>
      </c>
      <c r="D26" s="18" t="s">
        <v>15</v>
      </c>
      <c r="E26" s="19" t="s">
        <v>118</v>
      </c>
      <c r="F26" s="17" t="s">
        <v>95</v>
      </c>
      <c r="G26" s="17" t="str">
        <f aca="false">IF($F26="—","READY",IF(IFERROR(INDEX($H$2:$H$200,MATCH($F26,$A$2:$A$200,0)),"")="Done","READY","WAITING"))</f>
        <v>WAITING</v>
      </c>
      <c r="H26" s="20" t="s">
        <v>7</v>
      </c>
      <c r="I26" s="21"/>
      <c r="J26" s="22" t="n">
        <f aca="false">'Read Me'!$B$4+($B26-1)*7</f>
        <v>46258</v>
      </c>
      <c r="K26" s="22" t="n">
        <f aca="false">J26+6</f>
        <v>46264</v>
      </c>
      <c r="L26" s="19" t="s">
        <v>119</v>
      </c>
    </row>
    <row r="27" customFormat="false" ht="27.75" hidden="false" customHeight="true" outlineLevel="0" collapsed="false">
      <c r="A27" s="16" t="s">
        <v>120</v>
      </c>
      <c r="B27" s="17" t="n">
        <v>3</v>
      </c>
      <c r="C27" s="16" t="s">
        <v>112</v>
      </c>
      <c r="D27" s="23" t="s">
        <v>16</v>
      </c>
      <c r="E27" s="19" t="s">
        <v>121</v>
      </c>
      <c r="F27" s="17" t="s">
        <v>103</v>
      </c>
      <c r="G27" s="17" t="str">
        <f aca="false">IF($F27="—","READY",IF(IFERROR(INDEX($H$2:$H$200,MATCH($F27,$A$2:$A$200,0)),"")="Done","READY","WAITING"))</f>
        <v>WAITING</v>
      </c>
      <c r="H27" s="20" t="s">
        <v>7</v>
      </c>
      <c r="I27" s="21"/>
      <c r="J27" s="22" t="n">
        <f aca="false">'Read Me'!$B$4+($B27-1)*7</f>
        <v>46258</v>
      </c>
      <c r="K27" s="22" t="n">
        <f aca="false">J27+6</f>
        <v>46264</v>
      </c>
      <c r="L27" s="19" t="s">
        <v>122</v>
      </c>
    </row>
    <row r="28" customFormat="false" ht="27.75" hidden="false" customHeight="true" outlineLevel="0" collapsed="false">
      <c r="A28" s="16" t="s">
        <v>123</v>
      </c>
      <c r="B28" s="17" t="n">
        <v>3</v>
      </c>
      <c r="C28" s="16" t="s">
        <v>112</v>
      </c>
      <c r="D28" s="23" t="s">
        <v>16</v>
      </c>
      <c r="E28" s="19" t="s">
        <v>124</v>
      </c>
      <c r="F28" s="17" t="s">
        <v>120</v>
      </c>
      <c r="G28" s="17" t="str">
        <f aca="false">IF($F28="—","READY",IF(IFERROR(INDEX($H$2:$H$200,MATCH($F28,$A$2:$A$200,0)),"")="Done","READY","WAITING"))</f>
        <v>WAITING</v>
      </c>
      <c r="H28" s="20" t="s">
        <v>7</v>
      </c>
      <c r="I28" s="21"/>
      <c r="J28" s="22" t="n">
        <f aca="false">'Read Me'!$B$4+($B28-1)*7</f>
        <v>46258</v>
      </c>
      <c r="K28" s="22" t="n">
        <f aca="false">J28+6</f>
        <v>46264</v>
      </c>
      <c r="L28" s="19" t="s">
        <v>125</v>
      </c>
    </row>
    <row r="29" customFormat="false" ht="27.75" hidden="false" customHeight="true" outlineLevel="0" collapsed="false">
      <c r="A29" s="16" t="s">
        <v>126</v>
      </c>
      <c r="B29" s="17" t="n">
        <v>3</v>
      </c>
      <c r="C29" s="16" t="s">
        <v>112</v>
      </c>
      <c r="D29" s="24" t="s">
        <v>17</v>
      </c>
      <c r="E29" s="19" t="s">
        <v>127</v>
      </c>
      <c r="F29" s="17" t="s">
        <v>117</v>
      </c>
      <c r="G29" s="17" t="str">
        <f aca="false">IF($F29="—","READY",IF(IFERROR(INDEX($H$2:$H$200,MATCH($F29,$A$2:$A$200,0)),"")="Done","READY","WAITING"))</f>
        <v>WAITING</v>
      </c>
      <c r="H29" s="20" t="s">
        <v>7</v>
      </c>
      <c r="I29" s="21"/>
      <c r="J29" s="22" t="n">
        <f aca="false">'Read Me'!$B$4+($B29-1)*7</f>
        <v>46258</v>
      </c>
      <c r="K29" s="22" t="n">
        <f aca="false">J29+6</f>
        <v>46264</v>
      </c>
      <c r="L29" s="19" t="s">
        <v>128</v>
      </c>
    </row>
    <row r="30" customFormat="false" ht="27.75" hidden="false" customHeight="true" outlineLevel="0" collapsed="false">
      <c r="A30" s="16" t="s">
        <v>129</v>
      </c>
      <c r="B30" s="17" t="n">
        <v>3</v>
      </c>
      <c r="C30" s="16" t="s">
        <v>112</v>
      </c>
      <c r="D30" s="24" t="s">
        <v>17</v>
      </c>
      <c r="E30" s="19" t="s">
        <v>130</v>
      </c>
      <c r="F30" s="17" t="s">
        <v>126</v>
      </c>
      <c r="G30" s="17" t="str">
        <f aca="false">IF($F30="—","READY",IF(IFERROR(INDEX($H$2:$H$200,MATCH($F30,$A$2:$A$200,0)),"")="Done","READY","WAITING"))</f>
        <v>WAITING</v>
      </c>
      <c r="H30" s="20" t="s">
        <v>7</v>
      </c>
      <c r="I30" s="21"/>
      <c r="J30" s="22" t="n">
        <f aca="false">'Read Me'!$B$4+($B30-1)*7</f>
        <v>46258</v>
      </c>
      <c r="K30" s="22" t="n">
        <f aca="false">J30+6</f>
        <v>46264</v>
      </c>
      <c r="L30" s="19" t="s">
        <v>131</v>
      </c>
    </row>
    <row r="31" customFormat="false" ht="27.75" hidden="false" customHeight="true" outlineLevel="0" collapsed="false">
      <c r="A31" s="16" t="s">
        <v>132</v>
      </c>
      <c r="B31" s="17" t="n">
        <v>4</v>
      </c>
      <c r="C31" s="16" t="s">
        <v>112</v>
      </c>
      <c r="D31" s="18" t="s">
        <v>15</v>
      </c>
      <c r="E31" s="19" t="s">
        <v>133</v>
      </c>
      <c r="F31" s="17" t="s">
        <v>111</v>
      </c>
      <c r="G31" s="17" t="str">
        <f aca="false">IF($F31="—","READY",IF(IFERROR(INDEX($H$2:$H$200,MATCH($F31,$A$2:$A$200,0)),"")="Done","READY","WAITING"))</f>
        <v>WAITING</v>
      </c>
      <c r="H31" s="20" t="s">
        <v>7</v>
      </c>
      <c r="I31" s="21"/>
      <c r="J31" s="22" t="n">
        <f aca="false">'Read Me'!$B$4+($B31-1)*7</f>
        <v>46265</v>
      </c>
      <c r="K31" s="22" t="n">
        <f aca="false">J31+6</f>
        <v>46271</v>
      </c>
      <c r="L31" s="19"/>
    </row>
    <row r="32" customFormat="false" ht="27.75" hidden="false" customHeight="true" outlineLevel="0" collapsed="false">
      <c r="A32" s="16" t="s">
        <v>134</v>
      </c>
      <c r="B32" s="17" t="n">
        <v>4</v>
      </c>
      <c r="C32" s="16" t="s">
        <v>112</v>
      </c>
      <c r="D32" s="18" t="s">
        <v>15</v>
      </c>
      <c r="E32" s="19" t="s">
        <v>135</v>
      </c>
      <c r="F32" s="17" t="s">
        <v>132</v>
      </c>
      <c r="G32" s="17" t="str">
        <f aca="false">IF($F32="—","READY",IF(IFERROR(INDEX($H$2:$H$200,MATCH($F32,$A$2:$A$200,0)),"")="Done","READY","WAITING"))</f>
        <v>WAITING</v>
      </c>
      <c r="H32" s="20" t="s">
        <v>7</v>
      </c>
      <c r="I32" s="21"/>
      <c r="J32" s="22" t="n">
        <f aca="false">'Read Me'!$B$4+($B32-1)*7</f>
        <v>46265</v>
      </c>
      <c r="K32" s="22" t="n">
        <f aca="false">J32+6</f>
        <v>46271</v>
      </c>
      <c r="L32" s="19"/>
    </row>
    <row r="33" customFormat="false" ht="27.75" hidden="false" customHeight="true" outlineLevel="0" collapsed="false">
      <c r="A33" s="16" t="s">
        <v>136</v>
      </c>
      <c r="B33" s="17" t="n">
        <v>4</v>
      </c>
      <c r="C33" s="16" t="s">
        <v>112</v>
      </c>
      <c r="D33" s="23" t="s">
        <v>16</v>
      </c>
      <c r="E33" s="19" t="s">
        <v>137</v>
      </c>
      <c r="F33" s="17" t="s">
        <v>123</v>
      </c>
      <c r="G33" s="17" t="str">
        <f aca="false">IF($F33="—","READY",IF(IFERROR(INDEX($H$2:$H$200,MATCH($F33,$A$2:$A$200,0)),"")="Done","READY","WAITING"))</f>
        <v>WAITING</v>
      </c>
      <c r="H33" s="20" t="s">
        <v>7</v>
      </c>
      <c r="I33" s="21"/>
      <c r="J33" s="22" t="n">
        <f aca="false">'Read Me'!$B$4+($B33-1)*7</f>
        <v>46265</v>
      </c>
      <c r="K33" s="22" t="n">
        <f aca="false">J33+6</f>
        <v>46271</v>
      </c>
      <c r="L33" s="19" t="s">
        <v>138</v>
      </c>
    </row>
    <row r="34" customFormat="false" ht="27.75" hidden="false" customHeight="true" outlineLevel="0" collapsed="false">
      <c r="A34" s="16" t="s">
        <v>139</v>
      </c>
      <c r="B34" s="17" t="n">
        <v>4</v>
      </c>
      <c r="C34" s="16" t="s">
        <v>112</v>
      </c>
      <c r="D34" s="23" t="s">
        <v>16</v>
      </c>
      <c r="E34" s="19" t="s">
        <v>140</v>
      </c>
      <c r="F34" s="17" t="s">
        <v>136</v>
      </c>
      <c r="G34" s="17" t="str">
        <f aca="false">IF($F34="—","READY",IF(IFERROR(INDEX($H$2:$H$200,MATCH($F34,$A$2:$A$200,0)),"")="Done","READY","WAITING"))</f>
        <v>WAITING</v>
      </c>
      <c r="H34" s="20" t="s">
        <v>7</v>
      </c>
      <c r="I34" s="21"/>
      <c r="J34" s="22" t="n">
        <f aca="false">'Read Me'!$B$4+($B34-1)*7</f>
        <v>46265</v>
      </c>
      <c r="K34" s="22" t="n">
        <f aca="false">J34+6</f>
        <v>46271</v>
      </c>
      <c r="L34" s="19" t="s">
        <v>141</v>
      </c>
    </row>
    <row r="35" customFormat="false" ht="27.75" hidden="false" customHeight="true" outlineLevel="0" collapsed="false">
      <c r="A35" s="16" t="s">
        <v>142</v>
      </c>
      <c r="B35" s="17" t="n">
        <v>4</v>
      </c>
      <c r="C35" s="16" t="s">
        <v>112</v>
      </c>
      <c r="D35" s="24" t="s">
        <v>17</v>
      </c>
      <c r="E35" s="19" t="s">
        <v>143</v>
      </c>
      <c r="F35" s="17" t="s">
        <v>126</v>
      </c>
      <c r="G35" s="17" t="str">
        <f aca="false">IF($F35="—","READY",IF(IFERROR(INDEX($H$2:$H$200,MATCH($F35,$A$2:$A$200,0)),"")="Done","READY","WAITING"))</f>
        <v>WAITING</v>
      </c>
      <c r="H35" s="20" t="s">
        <v>7</v>
      </c>
      <c r="I35" s="21"/>
      <c r="J35" s="22" t="n">
        <f aca="false">'Read Me'!$B$4+($B35-1)*7</f>
        <v>46265</v>
      </c>
      <c r="K35" s="22" t="n">
        <f aca="false">J35+6</f>
        <v>46271</v>
      </c>
      <c r="L35" s="19"/>
    </row>
    <row r="36" customFormat="false" ht="27.75" hidden="false" customHeight="true" outlineLevel="0" collapsed="false">
      <c r="A36" s="16" t="s">
        <v>144</v>
      </c>
      <c r="B36" s="17" t="n">
        <v>4</v>
      </c>
      <c r="C36" s="16" t="s">
        <v>112</v>
      </c>
      <c r="D36" s="24" t="s">
        <v>17</v>
      </c>
      <c r="E36" s="19" t="s">
        <v>145</v>
      </c>
      <c r="F36" s="17" t="s">
        <v>142</v>
      </c>
      <c r="G36" s="17" t="str">
        <f aca="false">IF($F36="—","READY",IF(IFERROR(INDEX($H$2:$H$200,MATCH($F36,$A$2:$A$200,0)),"")="Done","READY","WAITING"))</f>
        <v>WAITING</v>
      </c>
      <c r="H36" s="20" t="s">
        <v>7</v>
      </c>
      <c r="I36" s="21"/>
      <c r="J36" s="22" t="n">
        <f aca="false">'Read Me'!$B$4+($B36-1)*7</f>
        <v>46265</v>
      </c>
      <c r="K36" s="22" t="n">
        <f aca="false">J36+6</f>
        <v>46271</v>
      </c>
      <c r="L36" s="19"/>
    </row>
    <row r="37" customFormat="false" ht="27.75" hidden="false" customHeight="true" outlineLevel="0" collapsed="false">
      <c r="A37" s="16" t="s">
        <v>146</v>
      </c>
      <c r="B37" s="17" t="n">
        <v>5</v>
      </c>
      <c r="C37" s="16" t="s">
        <v>112</v>
      </c>
      <c r="D37" s="18" t="s">
        <v>15</v>
      </c>
      <c r="E37" s="19" t="s">
        <v>147</v>
      </c>
      <c r="F37" s="17" t="s">
        <v>111</v>
      </c>
      <c r="G37" s="17" t="str">
        <f aca="false">IF($F37="—","READY",IF(IFERROR(INDEX($H$2:$H$200,MATCH($F37,$A$2:$A$200,0)),"")="Done","READY","WAITING"))</f>
        <v>WAITING</v>
      </c>
      <c r="H37" s="20" t="s">
        <v>7</v>
      </c>
      <c r="I37" s="21"/>
      <c r="J37" s="22" t="n">
        <f aca="false">'Read Me'!$B$4+($B37-1)*7</f>
        <v>46272</v>
      </c>
      <c r="K37" s="22" t="n">
        <f aca="false">J37+6</f>
        <v>46278</v>
      </c>
      <c r="L37" s="19"/>
    </row>
    <row r="38" customFormat="false" ht="27.75" hidden="false" customHeight="true" outlineLevel="0" collapsed="false">
      <c r="A38" s="16" t="s">
        <v>148</v>
      </c>
      <c r="B38" s="17" t="n">
        <v>5</v>
      </c>
      <c r="C38" s="16" t="s">
        <v>112</v>
      </c>
      <c r="D38" s="18" t="s">
        <v>15</v>
      </c>
      <c r="E38" s="19" t="s">
        <v>149</v>
      </c>
      <c r="F38" s="17" t="s">
        <v>111</v>
      </c>
      <c r="G38" s="17" t="str">
        <f aca="false">IF($F38="—","READY",IF(IFERROR(INDEX($H$2:$H$200,MATCH($F38,$A$2:$A$200,0)),"")="Done","READY","WAITING"))</f>
        <v>WAITING</v>
      </c>
      <c r="H38" s="20" t="s">
        <v>7</v>
      </c>
      <c r="I38" s="21"/>
      <c r="J38" s="22" t="n">
        <f aca="false">'Read Me'!$B$4+($B38-1)*7</f>
        <v>46272</v>
      </c>
      <c r="K38" s="22" t="n">
        <f aca="false">J38+6</f>
        <v>46278</v>
      </c>
      <c r="L38" s="19"/>
    </row>
    <row r="39" customFormat="false" ht="27.75" hidden="false" customHeight="true" outlineLevel="0" collapsed="false">
      <c r="A39" s="16" t="s">
        <v>150</v>
      </c>
      <c r="B39" s="17" t="n">
        <v>5</v>
      </c>
      <c r="C39" s="16" t="s">
        <v>112</v>
      </c>
      <c r="D39" s="23" t="s">
        <v>16</v>
      </c>
      <c r="E39" s="19" t="s">
        <v>151</v>
      </c>
      <c r="F39" s="17" t="s">
        <v>139</v>
      </c>
      <c r="G39" s="17" t="str">
        <f aca="false">IF($F39="—","READY",IF(IFERROR(INDEX($H$2:$H$200,MATCH($F39,$A$2:$A$200,0)),"")="Done","READY","WAITING"))</f>
        <v>WAITING</v>
      </c>
      <c r="H39" s="20" t="s">
        <v>7</v>
      </c>
      <c r="I39" s="21"/>
      <c r="J39" s="22" t="n">
        <f aca="false">'Read Me'!$B$4+($B39-1)*7</f>
        <v>46272</v>
      </c>
      <c r="K39" s="22" t="n">
        <f aca="false">J39+6</f>
        <v>46278</v>
      </c>
      <c r="L39" s="19"/>
    </row>
    <row r="40" customFormat="false" ht="27.75" hidden="false" customHeight="true" outlineLevel="0" collapsed="false">
      <c r="A40" s="16" t="s">
        <v>152</v>
      </c>
      <c r="B40" s="17" t="n">
        <v>5</v>
      </c>
      <c r="C40" s="16" t="s">
        <v>112</v>
      </c>
      <c r="D40" s="23" t="s">
        <v>16</v>
      </c>
      <c r="E40" s="19" t="s">
        <v>153</v>
      </c>
      <c r="F40" s="17" t="s">
        <v>150</v>
      </c>
      <c r="G40" s="17" t="str">
        <f aca="false">IF($F40="—","READY",IF(IFERROR(INDEX($H$2:$H$200,MATCH($F40,$A$2:$A$200,0)),"")="Done","READY","WAITING"))</f>
        <v>WAITING</v>
      </c>
      <c r="H40" s="20" t="s">
        <v>7</v>
      </c>
      <c r="I40" s="21"/>
      <c r="J40" s="22" t="n">
        <f aca="false">'Read Me'!$B$4+($B40-1)*7</f>
        <v>46272</v>
      </c>
      <c r="K40" s="22" t="n">
        <f aca="false">J40+6</f>
        <v>46278</v>
      </c>
      <c r="L40" s="19" t="s">
        <v>154</v>
      </c>
    </row>
    <row r="41" customFormat="false" ht="27.75" hidden="false" customHeight="true" outlineLevel="0" collapsed="false">
      <c r="A41" s="16" t="s">
        <v>155</v>
      </c>
      <c r="B41" s="17" t="n">
        <v>5</v>
      </c>
      <c r="C41" s="16" t="s">
        <v>112</v>
      </c>
      <c r="D41" s="24" t="s">
        <v>17</v>
      </c>
      <c r="E41" s="19" t="s">
        <v>156</v>
      </c>
      <c r="F41" s="17" t="s">
        <v>144</v>
      </c>
      <c r="G41" s="17" t="str">
        <f aca="false">IF($F41="—","READY",IF(IFERROR(INDEX($H$2:$H$200,MATCH($F41,$A$2:$A$200,0)),"")="Done","READY","WAITING"))</f>
        <v>WAITING</v>
      </c>
      <c r="H41" s="20" t="s">
        <v>7</v>
      </c>
      <c r="I41" s="21"/>
      <c r="J41" s="22" t="n">
        <f aca="false">'Read Me'!$B$4+($B41-1)*7</f>
        <v>46272</v>
      </c>
      <c r="K41" s="22" t="n">
        <f aca="false">J41+6</f>
        <v>46278</v>
      </c>
      <c r="L41" s="19"/>
    </row>
    <row r="42" customFormat="false" ht="27.75" hidden="false" customHeight="true" outlineLevel="0" collapsed="false">
      <c r="A42" s="16" t="s">
        <v>157</v>
      </c>
      <c r="B42" s="17" t="n">
        <v>5</v>
      </c>
      <c r="C42" s="16" t="s">
        <v>112</v>
      </c>
      <c r="D42" s="24" t="s">
        <v>17</v>
      </c>
      <c r="E42" s="19" t="s">
        <v>158</v>
      </c>
      <c r="F42" s="17" t="s">
        <v>155</v>
      </c>
      <c r="G42" s="17" t="str">
        <f aca="false">IF($F42="—","READY",IF(IFERROR(INDEX($H$2:$H$200,MATCH($F42,$A$2:$A$200,0)),"")="Done","READY","WAITING"))</f>
        <v>WAITING</v>
      </c>
      <c r="H42" s="20" t="s">
        <v>7</v>
      </c>
      <c r="I42" s="21"/>
      <c r="J42" s="22" t="n">
        <f aca="false">'Read Me'!$B$4+($B42-1)*7</f>
        <v>46272</v>
      </c>
      <c r="K42" s="22" t="n">
        <f aca="false">J42+6</f>
        <v>46278</v>
      </c>
      <c r="L42" s="19" t="s">
        <v>159</v>
      </c>
    </row>
    <row r="43" customFormat="false" ht="27.75" hidden="false" customHeight="true" outlineLevel="0" collapsed="false">
      <c r="A43" s="16" t="s">
        <v>160</v>
      </c>
      <c r="B43" s="17" t="n">
        <v>6</v>
      </c>
      <c r="C43" s="16" t="s">
        <v>112</v>
      </c>
      <c r="D43" s="18" t="s">
        <v>15</v>
      </c>
      <c r="E43" s="19" t="s">
        <v>161</v>
      </c>
      <c r="F43" s="17" t="s">
        <v>134</v>
      </c>
      <c r="G43" s="17" t="str">
        <f aca="false">IF($F43="—","READY",IF(IFERROR(INDEX($H$2:$H$200,MATCH($F43,$A$2:$A$200,0)),"")="Done","READY","WAITING"))</f>
        <v>WAITING</v>
      </c>
      <c r="H43" s="20" t="s">
        <v>7</v>
      </c>
      <c r="I43" s="21"/>
      <c r="J43" s="22" t="n">
        <f aca="false">'Read Me'!$B$4+($B43-1)*7</f>
        <v>46279</v>
      </c>
      <c r="K43" s="22" t="n">
        <f aca="false">J43+6</f>
        <v>46285</v>
      </c>
      <c r="L43" s="19"/>
    </row>
    <row r="44" customFormat="false" ht="27.75" hidden="false" customHeight="true" outlineLevel="0" collapsed="false">
      <c r="A44" s="16" t="s">
        <v>162</v>
      </c>
      <c r="B44" s="17" t="n">
        <v>6</v>
      </c>
      <c r="C44" s="16" t="s">
        <v>112</v>
      </c>
      <c r="D44" s="23" t="s">
        <v>16</v>
      </c>
      <c r="E44" s="19" t="s">
        <v>163</v>
      </c>
      <c r="F44" s="17" t="s">
        <v>103</v>
      </c>
      <c r="G44" s="17" t="str">
        <f aca="false">IF($F44="—","READY",IF(IFERROR(INDEX($H$2:$H$200,MATCH($F44,$A$2:$A$200,0)),"")="Done","READY","WAITING"))</f>
        <v>WAITING</v>
      </c>
      <c r="H44" s="20" t="s">
        <v>7</v>
      </c>
      <c r="I44" s="21"/>
      <c r="J44" s="22" t="n">
        <f aca="false">'Read Me'!$B$4+($B44-1)*7</f>
        <v>46279</v>
      </c>
      <c r="K44" s="22" t="n">
        <f aca="false">J44+6</f>
        <v>46285</v>
      </c>
      <c r="L44" s="19"/>
    </row>
    <row r="45" customFormat="false" ht="27.75" hidden="false" customHeight="true" outlineLevel="0" collapsed="false">
      <c r="A45" s="16" t="s">
        <v>164</v>
      </c>
      <c r="B45" s="17" t="n">
        <v>6</v>
      </c>
      <c r="C45" s="16" t="s">
        <v>112</v>
      </c>
      <c r="D45" s="23" t="s">
        <v>16</v>
      </c>
      <c r="E45" s="19" t="s">
        <v>165</v>
      </c>
      <c r="F45" s="17" t="s">
        <v>162</v>
      </c>
      <c r="G45" s="17" t="str">
        <f aca="false">IF($F45="—","READY",IF(IFERROR(INDEX($H$2:$H$200,MATCH($F45,$A$2:$A$200,0)),"")="Done","READY","WAITING"))</f>
        <v>WAITING</v>
      </c>
      <c r="H45" s="20" t="s">
        <v>7</v>
      </c>
      <c r="I45" s="21"/>
      <c r="J45" s="22" t="n">
        <f aca="false">'Read Me'!$B$4+($B45-1)*7</f>
        <v>46279</v>
      </c>
      <c r="K45" s="22" t="n">
        <f aca="false">J45+6</f>
        <v>46285</v>
      </c>
      <c r="L45" s="19" t="s">
        <v>166</v>
      </c>
    </row>
    <row r="46" customFormat="false" ht="27.75" hidden="false" customHeight="true" outlineLevel="0" collapsed="false">
      <c r="A46" s="16" t="s">
        <v>167</v>
      </c>
      <c r="B46" s="17" t="n">
        <v>6</v>
      </c>
      <c r="C46" s="16" t="s">
        <v>112</v>
      </c>
      <c r="D46" s="24" t="s">
        <v>17</v>
      </c>
      <c r="E46" s="19" t="s">
        <v>168</v>
      </c>
      <c r="F46" s="17" t="s">
        <v>157</v>
      </c>
      <c r="G46" s="17" t="str">
        <f aca="false">IF($F46="—","READY",IF(IFERROR(INDEX($H$2:$H$200,MATCH($F46,$A$2:$A$200,0)),"")="Done","READY","WAITING"))</f>
        <v>WAITING</v>
      </c>
      <c r="H46" s="20" t="s">
        <v>7</v>
      </c>
      <c r="I46" s="21"/>
      <c r="J46" s="22" t="n">
        <f aca="false">'Read Me'!$B$4+($B46-1)*7</f>
        <v>46279</v>
      </c>
      <c r="K46" s="22" t="n">
        <f aca="false">J46+6</f>
        <v>46285</v>
      </c>
      <c r="L46" s="19"/>
    </row>
    <row r="47" customFormat="false" ht="27.75" hidden="false" customHeight="true" outlineLevel="0" collapsed="false">
      <c r="A47" s="16" t="s">
        <v>169</v>
      </c>
      <c r="B47" s="17" t="n">
        <v>6</v>
      </c>
      <c r="C47" s="16" t="s">
        <v>112</v>
      </c>
      <c r="D47" s="24" t="s">
        <v>17</v>
      </c>
      <c r="E47" s="19" t="s">
        <v>170</v>
      </c>
      <c r="F47" s="17" t="s">
        <v>167</v>
      </c>
      <c r="G47" s="17" t="str">
        <f aca="false">IF($F47="—","READY",IF(IFERROR(INDEX($H$2:$H$200,MATCH($F47,$A$2:$A$200,0)),"")="Done","READY","WAITING"))</f>
        <v>WAITING</v>
      </c>
      <c r="H47" s="20" t="s">
        <v>7</v>
      </c>
      <c r="I47" s="21"/>
      <c r="J47" s="22" t="n">
        <f aca="false">'Read Me'!$B$4+($B47-1)*7</f>
        <v>46279</v>
      </c>
      <c r="K47" s="22" t="n">
        <f aca="false">J47+6</f>
        <v>46285</v>
      </c>
      <c r="L47" s="19" t="s">
        <v>171</v>
      </c>
    </row>
    <row r="48" customFormat="false" ht="27.75" hidden="false" customHeight="true" outlineLevel="0" collapsed="false">
      <c r="A48" s="16" t="s">
        <v>172</v>
      </c>
      <c r="B48" s="17" t="n">
        <v>7</v>
      </c>
      <c r="C48" s="16" t="s">
        <v>173</v>
      </c>
      <c r="D48" s="18" t="s">
        <v>15</v>
      </c>
      <c r="E48" s="19" t="s">
        <v>174</v>
      </c>
      <c r="F48" s="17" t="s">
        <v>160</v>
      </c>
      <c r="G48" s="17" t="str">
        <f aca="false">IF($F48="—","READY",IF(IFERROR(INDEX($H$2:$H$200,MATCH($F48,$A$2:$A$200,0)),"")="Done","READY","WAITING"))</f>
        <v>WAITING</v>
      </c>
      <c r="H48" s="20" t="s">
        <v>7</v>
      </c>
      <c r="I48" s="21"/>
      <c r="J48" s="22" t="n">
        <f aca="false">'Read Me'!$B$4+($B48-1)*7</f>
        <v>46286</v>
      </c>
      <c r="K48" s="22" t="n">
        <f aca="false">J48+6</f>
        <v>46292</v>
      </c>
      <c r="L48" s="19" t="s">
        <v>175</v>
      </c>
    </row>
    <row r="49" customFormat="false" ht="27.75" hidden="false" customHeight="true" outlineLevel="0" collapsed="false">
      <c r="A49" s="16" t="s">
        <v>176</v>
      </c>
      <c r="B49" s="17" t="n">
        <v>7</v>
      </c>
      <c r="C49" s="16" t="s">
        <v>173</v>
      </c>
      <c r="D49" s="18" t="s">
        <v>15</v>
      </c>
      <c r="E49" s="19" t="s">
        <v>177</v>
      </c>
      <c r="F49" s="17" t="s">
        <v>172</v>
      </c>
      <c r="G49" s="17" t="str">
        <f aca="false">IF($F49="—","READY",IF(IFERROR(INDEX($H$2:$H$200,MATCH($F49,$A$2:$A$200,0)),"")="Done","READY","WAITING"))</f>
        <v>WAITING</v>
      </c>
      <c r="H49" s="20" t="s">
        <v>7</v>
      </c>
      <c r="I49" s="21"/>
      <c r="J49" s="22" t="n">
        <f aca="false">'Read Me'!$B$4+($B49-1)*7</f>
        <v>46286</v>
      </c>
      <c r="K49" s="22" t="n">
        <f aca="false">J49+6</f>
        <v>46292</v>
      </c>
      <c r="L49" s="19"/>
    </row>
    <row r="50" customFormat="false" ht="27.75" hidden="false" customHeight="true" outlineLevel="0" collapsed="false">
      <c r="A50" s="16" t="s">
        <v>178</v>
      </c>
      <c r="B50" s="17" t="n">
        <v>7</v>
      </c>
      <c r="C50" s="16" t="s">
        <v>173</v>
      </c>
      <c r="D50" s="18" t="s">
        <v>15</v>
      </c>
      <c r="E50" s="19" t="s">
        <v>179</v>
      </c>
      <c r="F50" s="17" t="s">
        <v>172</v>
      </c>
      <c r="G50" s="17" t="str">
        <f aca="false">IF($F50="—","READY",IF(IFERROR(INDEX($H$2:$H$200,MATCH($F50,$A$2:$A$200,0)),"")="Done","READY","WAITING"))</f>
        <v>WAITING</v>
      </c>
      <c r="H50" s="20" t="s">
        <v>7</v>
      </c>
      <c r="I50" s="21"/>
      <c r="J50" s="22" t="n">
        <f aca="false">'Read Me'!$B$4+($B50-1)*7</f>
        <v>46286</v>
      </c>
      <c r="K50" s="22" t="n">
        <f aca="false">J50+6</f>
        <v>46292</v>
      </c>
      <c r="L50" s="19" t="s">
        <v>180</v>
      </c>
    </row>
    <row r="51" customFormat="false" ht="27.75" hidden="false" customHeight="true" outlineLevel="0" collapsed="false">
      <c r="A51" s="16" t="s">
        <v>181</v>
      </c>
      <c r="B51" s="17" t="n">
        <v>7</v>
      </c>
      <c r="C51" s="16" t="s">
        <v>173</v>
      </c>
      <c r="D51" s="23" t="s">
        <v>16</v>
      </c>
      <c r="E51" s="19" t="s">
        <v>182</v>
      </c>
      <c r="F51" s="17" t="s">
        <v>176</v>
      </c>
      <c r="G51" s="17" t="str">
        <f aca="false">IF($F51="—","READY",IF(IFERROR(INDEX($H$2:$H$200,MATCH($F51,$A$2:$A$200,0)),"")="Done","READY","WAITING"))</f>
        <v>WAITING</v>
      </c>
      <c r="H51" s="20" t="s">
        <v>7</v>
      </c>
      <c r="I51" s="21"/>
      <c r="J51" s="22" t="n">
        <f aca="false">'Read Me'!$B$4+($B51-1)*7</f>
        <v>46286</v>
      </c>
      <c r="K51" s="22" t="n">
        <f aca="false">J51+6</f>
        <v>46292</v>
      </c>
      <c r="L51" s="19"/>
    </row>
    <row r="52" customFormat="false" ht="27.75" hidden="false" customHeight="true" outlineLevel="0" collapsed="false">
      <c r="A52" s="16" t="s">
        <v>183</v>
      </c>
      <c r="B52" s="17" t="n">
        <v>7</v>
      </c>
      <c r="C52" s="16" t="s">
        <v>173</v>
      </c>
      <c r="D52" s="23" t="s">
        <v>16</v>
      </c>
      <c r="E52" s="19" t="s">
        <v>184</v>
      </c>
      <c r="F52" s="17" t="s">
        <v>181</v>
      </c>
      <c r="G52" s="17" t="str">
        <f aca="false">IF($F52="—","READY",IF(IFERROR(INDEX($H$2:$H$200,MATCH($F52,$A$2:$A$200,0)),"")="Done","READY","WAITING"))</f>
        <v>WAITING</v>
      </c>
      <c r="H52" s="20" t="s">
        <v>7</v>
      </c>
      <c r="I52" s="21"/>
      <c r="J52" s="22" t="n">
        <f aca="false">'Read Me'!$B$4+($B52-1)*7</f>
        <v>46286</v>
      </c>
      <c r="K52" s="22" t="n">
        <f aca="false">J52+6</f>
        <v>46292</v>
      </c>
      <c r="L52" s="19"/>
    </row>
    <row r="53" customFormat="false" ht="27.75" hidden="false" customHeight="true" outlineLevel="0" collapsed="false">
      <c r="A53" s="16" t="s">
        <v>185</v>
      </c>
      <c r="B53" s="17" t="n">
        <v>7</v>
      </c>
      <c r="C53" s="16" t="s">
        <v>173</v>
      </c>
      <c r="D53" s="24" t="s">
        <v>17</v>
      </c>
      <c r="E53" s="19" t="s">
        <v>186</v>
      </c>
      <c r="F53" s="17" t="s">
        <v>172</v>
      </c>
      <c r="G53" s="17" t="str">
        <f aca="false">IF($F53="—","READY",IF(IFERROR(INDEX($H$2:$H$200,MATCH($F53,$A$2:$A$200,0)),"")="Done","READY","WAITING"))</f>
        <v>WAITING</v>
      </c>
      <c r="H53" s="20" t="s">
        <v>7</v>
      </c>
      <c r="I53" s="21"/>
      <c r="J53" s="22" t="n">
        <f aca="false">'Read Me'!$B$4+($B53-1)*7</f>
        <v>46286</v>
      </c>
      <c r="K53" s="22" t="n">
        <f aca="false">J53+6</f>
        <v>46292</v>
      </c>
      <c r="L53" s="19"/>
    </row>
    <row r="54" customFormat="false" ht="27.75" hidden="false" customHeight="true" outlineLevel="0" collapsed="false">
      <c r="A54" s="16" t="s">
        <v>187</v>
      </c>
      <c r="B54" s="17" t="n">
        <v>8</v>
      </c>
      <c r="C54" s="16" t="s">
        <v>173</v>
      </c>
      <c r="D54" s="18" t="s">
        <v>15</v>
      </c>
      <c r="E54" s="19" t="s">
        <v>188</v>
      </c>
      <c r="F54" s="17" t="s">
        <v>178</v>
      </c>
      <c r="G54" s="17" t="str">
        <f aca="false">IF($F54="—","READY",IF(IFERROR(INDEX($H$2:$H$200,MATCH($F54,$A$2:$A$200,0)),"")="Done","READY","WAITING"))</f>
        <v>WAITING</v>
      </c>
      <c r="H54" s="20" t="s">
        <v>7</v>
      </c>
      <c r="I54" s="21"/>
      <c r="J54" s="22" t="n">
        <f aca="false">'Read Me'!$B$4+($B54-1)*7</f>
        <v>46293</v>
      </c>
      <c r="K54" s="22" t="n">
        <f aca="false">J54+6</f>
        <v>46299</v>
      </c>
      <c r="L54" s="19"/>
    </row>
    <row r="55" customFormat="false" ht="27.75" hidden="false" customHeight="true" outlineLevel="0" collapsed="false">
      <c r="A55" s="16" t="s">
        <v>189</v>
      </c>
      <c r="B55" s="17" t="n">
        <v>8</v>
      </c>
      <c r="C55" s="16" t="s">
        <v>173</v>
      </c>
      <c r="D55" s="18" t="s">
        <v>15</v>
      </c>
      <c r="E55" s="19" t="s">
        <v>190</v>
      </c>
      <c r="F55" s="17" t="s">
        <v>187</v>
      </c>
      <c r="G55" s="17" t="str">
        <f aca="false">IF($F55="—","READY",IF(IFERROR(INDEX($H$2:$H$200,MATCH($F55,$A$2:$A$200,0)),"")="Done","READY","WAITING"))</f>
        <v>WAITING</v>
      </c>
      <c r="H55" s="20" t="s">
        <v>7</v>
      </c>
      <c r="I55" s="21"/>
      <c r="J55" s="22" t="n">
        <f aca="false">'Read Me'!$B$4+($B55-1)*7</f>
        <v>46293</v>
      </c>
      <c r="K55" s="22" t="n">
        <f aca="false">J55+6</f>
        <v>46299</v>
      </c>
      <c r="L55" s="19" t="s">
        <v>191</v>
      </c>
    </row>
    <row r="56" customFormat="false" ht="27.75" hidden="false" customHeight="true" outlineLevel="0" collapsed="false">
      <c r="A56" s="16" t="s">
        <v>192</v>
      </c>
      <c r="B56" s="17" t="n">
        <v>8</v>
      </c>
      <c r="C56" s="16" t="s">
        <v>173</v>
      </c>
      <c r="D56" s="23" t="s">
        <v>16</v>
      </c>
      <c r="E56" s="19" t="s">
        <v>193</v>
      </c>
      <c r="F56" s="17" t="s">
        <v>183</v>
      </c>
      <c r="G56" s="17" t="str">
        <f aca="false">IF($F56="—","READY",IF(IFERROR(INDEX($H$2:$H$200,MATCH($F56,$A$2:$A$200,0)),"")="Done","READY","WAITING"))</f>
        <v>WAITING</v>
      </c>
      <c r="H56" s="20" t="s">
        <v>7</v>
      </c>
      <c r="I56" s="21"/>
      <c r="J56" s="22" t="n">
        <f aca="false">'Read Me'!$B$4+($B56-1)*7</f>
        <v>46293</v>
      </c>
      <c r="K56" s="22" t="n">
        <f aca="false">J56+6</f>
        <v>46299</v>
      </c>
      <c r="L56" s="19" t="s">
        <v>194</v>
      </c>
    </row>
    <row r="57" customFormat="false" ht="27.75" hidden="false" customHeight="true" outlineLevel="0" collapsed="false">
      <c r="A57" s="16" t="s">
        <v>195</v>
      </c>
      <c r="B57" s="17" t="n">
        <v>8</v>
      </c>
      <c r="C57" s="16" t="s">
        <v>173</v>
      </c>
      <c r="D57" s="23" t="s">
        <v>16</v>
      </c>
      <c r="E57" s="19" t="s">
        <v>196</v>
      </c>
      <c r="F57" s="17" t="s">
        <v>192</v>
      </c>
      <c r="G57" s="17" t="str">
        <f aca="false">IF($F57="—","READY",IF(IFERROR(INDEX($H$2:$H$200,MATCH($F57,$A$2:$A$200,0)),"")="Done","READY","WAITING"))</f>
        <v>WAITING</v>
      </c>
      <c r="H57" s="20" t="s">
        <v>7</v>
      </c>
      <c r="I57" s="21"/>
      <c r="J57" s="22" t="n">
        <f aca="false">'Read Me'!$B$4+($B57-1)*7</f>
        <v>46293</v>
      </c>
      <c r="K57" s="22" t="n">
        <f aca="false">J57+6</f>
        <v>46299</v>
      </c>
      <c r="L57" s="19" t="s">
        <v>197</v>
      </c>
    </row>
    <row r="58" customFormat="false" ht="27.75" hidden="false" customHeight="true" outlineLevel="0" collapsed="false">
      <c r="A58" s="16" t="s">
        <v>198</v>
      </c>
      <c r="B58" s="17" t="n">
        <v>8</v>
      </c>
      <c r="C58" s="16" t="s">
        <v>173</v>
      </c>
      <c r="D58" s="23" t="s">
        <v>16</v>
      </c>
      <c r="E58" s="19" t="s">
        <v>199</v>
      </c>
      <c r="F58" s="17" t="s">
        <v>192</v>
      </c>
      <c r="G58" s="17" t="str">
        <f aca="false">IF($F58="—","READY",IF(IFERROR(INDEX($H$2:$H$200,MATCH($F58,$A$2:$A$200,0)),"")="Done","READY","WAITING"))</f>
        <v>WAITING</v>
      </c>
      <c r="H58" s="20" t="s">
        <v>7</v>
      </c>
      <c r="I58" s="21"/>
      <c r="J58" s="22" t="n">
        <f aca="false">'Read Me'!$B$4+($B58-1)*7</f>
        <v>46293</v>
      </c>
      <c r="K58" s="22" t="n">
        <f aca="false">J58+6</f>
        <v>46299</v>
      </c>
      <c r="L58" s="19"/>
    </row>
    <row r="59" customFormat="false" ht="27.75" hidden="false" customHeight="true" outlineLevel="0" collapsed="false">
      <c r="A59" s="16" t="s">
        <v>200</v>
      </c>
      <c r="B59" s="17" t="n">
        <v>8</v>
      </c>
      <c r="C59" s="16" t="s">
        <v>173</v>
      </c>
      <c r="D59" s="24" t="s">
        <v>17</v>
      </c>
      <c r="E59" s="19" t="s">
        <v>201</v>
      </c>
      <c r="F59" s="17" t="s">
        <v>187</v>
      </c>
      <c r="G59" s="17" t="str">
        <f aca="false">IF($F59="—","READY",IF(IFERROR(INDEX($H$2:$H$200,MATCH($F59,$A$2:$A$200,0)),"")="Done","READY","WAITING"))</f>
        <v>WAITING</v>
      </c>
      <c r="H59" s="20" t="s">
        <v>7</v>
      </c>
      <c r="I59" s="21"/>
      <c r="J59" s="22" t="n">
        <f aca="false">'Read Me'!$B$4+($B59-1)*7</f>
        <v>46293</v>
      </c>
      <c r="K59" s="22" t="n">
        <f aca="false">J59+6</f>
        <v>46299</v>
      </c>
      <c r="L59" s="19"/>
    </row>
    <row r="60" customFormat="false" ht="27.75" hidden="false" customHeight="true" outlineLevel="0" collapsed="false">
      <c r="A60" s="16" t="s">
        <v>202</v>
      </c>
      <c r="B60" s="17" t="n">
        <v>8</v>
      </c>
      <c r="C60" s="16" t="s">
        <v>173</v>
      </c>
      <c r="D60" s="24" t="s">
        <v>17</v>
      </c>
      <c r="E60" s="19" t="s">
        <v>203</v>
      </c>
      <c r="F60" s="17" t="s">
        <v>200</v>
      </c>
      <c r="G60" s="17" t="str">
        <f aca="false">IF($F60="—","READY",IF(IFERROR(INDEX($H$2:$H$200,MATCH($F60,$A$2:$A$200,0)),"")="Done","READY","WAITING"))</f>
        <v>WAITING</v>
      </c>
      <c r="H60" s="20" t="s">
        <v>7</v>
      </c>
      <c r="I60" s="21"/>
      <c r="J60" s="22" t="n">
        <f aca="false">'Read Me'!$B$4+($B60-1)*7</f>
        <v>46293</v>
      </c>
      <c r="K60" s="22" t="n">
        <f aca="false">J60+6</f>
        <v>46299</v>
      </c>
      <c r="L60" s="19" t="s">
        <v>204</v>
      </c>
    </row>
    <row r="61" customFormat="false" ht="27.75" hidden="false" customHeight="true" outlineLevel="0" collapsed="false">
      <c r="A61" s="16" t="s">
        <v>205</v>
      </c>
      <c r="B61" s="17" t="n">
        <v>9</v>
      </c>
      <c r="C61" s="16" t="s">
        <v>173</v>
      </c>
      <c r="D61" s="18" t="s">
        <v>15</v>
      </c>
      <c r="E61" s="19" t="s">
        <v>206</v>
      </c>
      <c r="F61" s="17" t="s">
        <v>187</v>
      </c>
      <c r="G61" s="17" t="str">
        <f aca="false">IF($F61="—","READY",IF(IFERROR(INDEX($H$2:$H$200,MATCH($F61,$A$2:$A$200,0)),"")="Done","READY","WAITING"))</f>
        <v>WAITING</v>
      </c>
      <c r="H61" s="20" t="s">
        <v>7</v>
      </c>
      <c r="I61" s="21"/>
      <c r="J61" s="22" t="n">
        <f aca="false">'Read Me'!$B$4+($B61-1)*7</f>
        <v>46300</v>
      </c>
      <c r="K61" s="22" t="n">
        <f aca="false">J61+6</f>
        <v>46306</v>
      </c>
      <c r="L61" s="19" t="s">
        <v>207</v>
      </c>
    </row>
    <row r="62" customFormat="false" ht="27.75" hidden="false" customHeight="true" outlineLevel="0" collapsed="false">
      <c r="A62" s="16" t="s">
        <v>208</v>
      </c>
      <c r="B62" s="17" t="n">
        <v>9</v>
      </c>
      <c r="C62" s="16" t="s">
        <v>173</v>
      </c>
      <c r="D62" s="18" t="s">
        <v>15</v>
      </c>
      <c r="E62" s="19" t="s">
        <v>209</v>
      </c>
      <c r="F62" s="17" t="s">
        <v>187</v>
      </c>
      <c r="G62" s="17" t="str">
        <f aca="false">IF($F62="—","READY",IF(IFERROR(INDEX($H$2:$H$200,MATCH($F62,$A$2:$A$200,0)),"")="Done","READY","WAITING"))</f>
        <v>WAITING</v>
      </c>
      <c r="H62" s="20" t="s">
        <v>7</v>
      </c>
      <c r="I62" s="21"/>
      <c r="J62" s="22" t="n">
        <f aca="false">'Read Me'!$B$4+($B62-1)*7</f>
        <v>46300</v>
      </c>
      <c r="K62" s="22" t="n">
        <f aca="false">J62+6</f>
        <v>46306</v>
      </c>
      <c r="L62" s="19" t="s">
        <v>210</v>
      </c>
    </row>
    <row r="63" customFormat="false" ht="27.75" hidden="false" customHeight="true" outlineLevel="0" collapsed="false">
      <c r="A63" s="16" t="s">
        <v>211</v>
      </c>
      <c r="B63" s="17" t="n">
        <v>9</v>
      </c>
      <c r="C63" s="16" t="s">
        <v>173</v>
      </c>
      <c r="D63" s="23" t="s">
        <v>16</v>
      </c>
      <c r="E63" s="19" t="s">
        <v>212</v>
      </c>
      <c r="F63" s="17" t="s">
        <v>195</v>
      </c>
      <c r="G63" s="17" t="str">
        <f aca="false">IF($F63="—","READY",IF(IFERROR(INDEX($H$2:$H$200,MATCH($F63,$A$2:$A$200,0)),"")="Done","READY","WAITING"))</f>
        <v>WAITING</v>
      </c>
      <c r="H63" s="20" t="s">
        <v>7</v>
      </c>
      <c r="I63" s="21"/>
      <c r="J63" s="22" t="n">
        <f aca="false">'Read Me'!$B$4+($B63-1)*7</f>
        <v>46300</v>
      </c>
      <c r="K63" s="22" t="n">
        <f aca="false">J63+6</f>
        <v>46306</v>
      </c>
      <c r="L63" s="19" t="s">
        <v>213</v>
      </c>
    </row>
    <row r="64" customFormat="false" ht="27.75" hidden="false" customHeight="true" outlineLevel="0" collapsed="false">
      <c r="A64" s="16" t="s">
        <v>214</v>
      </c>
      <c r="B64" s="17" t="n">
        <v>9</v>
      </c>
      <c r="C64" s="16" t="s">
        <v>173</v>
      </c>
      <c r="D64" s="23" t="s">
        <v>16</v>
      </c>
      <c r="E64" s="19" t="s">
        <v>215</v>
      </c>
      <c r="F64" s="17" t="s">
        <v>211</v>
      </c>
      <c r="G64" s="17" t="str">
        <f aca="false">IF($F64="—","READY",IF(IFERROR(INDEX($H$2:$H$200,MATCH($F64,$A$2:$A$200,0)),"")="Done","READY","WAITING"))</f>
        <v>WAITING</v>
      </c>
      <c r="H64" s="20" t="s">
        <v>7</v>
      </c>
      <c r="I64" s="21"/>
      <c r="J64" s="22" t="n">
        <f aca="false">'Read Me'!$B$4+($B64-1)*7</f>
        <v>46300</v>
      </c>
      <c r="K64" s="22" t="n">
        <f aca="false">J64+6</f>
        <v>46306</v>
      </c>
      <c r="L64" s="19" t="s">
        <v>216</v>
      </c>
    </row>
    <row r="65" customFormat="false" ht="27.75" hidden="false" customHeight="true" outlineLevel="0" collapsed="false">
      <c r="A65" s="16" t="s">
        <v>217</v>
      </c>
      <c r="B65" s="17" t="n">
        <v>9</v>
      </c>
      <c r="C65" s="16" t="s">
        <v>218</v>
      </c>
      <c r="D65" s="24" t="s">
        <v>17</v>
      </c>
      <c r="E65" s="19" t="s">
        <v>219</v>
      </c>
      <c r="F65" s="17" t="s">
        <v>185</v>
      </c>
      <c r="G65" s="17" t="str">
        <f aca="false">IF($F65="—","READY",IF(IFERROR(INDEX($H$2:$H$200,MATCH($F65,$A$2:$A$200,0)),"")="Done","READY","WAITING"))</f>
        <v>WAITING</v>
      </c>
      <c r="H65" s="20" t="s">
        <v>7</v>
      </c>
      <c r="I65" s="21"/>
      <c r="J65" s="22" t="n">
        <f aca="false">'Read Me'!$B$4+($B65-1)*7</f>
        <v>46300</v>
      </c>
      <c r="K65" s="22" t="n">
        <f aca="false">J65+6</f>
        <v>46306</v>
      </c>
      <c r="L65" s="19"/>
    </row>
    <row r="66" customFormat="false" ht="27.75" hidden="false" customHeight="true" outlineLevel="0" collapsed="false">
      <c r="A66" s="16" t="s">
        <v>220</v>
      </c>
      <c r="B66" s="17" t="n">
        <v>9</v>
      </c>
      <c r="C66" s="16" t="s">
        <v>218</v>
      </c>
      <c r="D66" s="24" t="s">
        <v>17</v>
      </c>
      <c r="E66" s="19" t="s">
        <v>221</v>
      </c>
      <c r="F66" s="17" t="s">
        <v>217</v>
      </c>
      <c r="G66" s="17" t="str">
        <f aca="false">IF($F66="—","READY",IF(IFERROR(INDEX($H$2:$H$200,MATCH($F66,$A$2:$A$200,0)),"")="Done","READY","WAITING"))</f>
        <v>WAITING</v>
      </c>
      <c r="H66" s="20" t="s">
        <v>7</v>
      </c>
      <c r="I66" s="21"/>
      <c r="J66" s="22" t="n">
        <f aca="false">'Read Me'!$B$4+($B66-1)*7</f>
        <v>46300</v>
      </c>
      <c r="K66" s="22" t="n">
        <f aca="false">J66+6</f>
        <v>46306</v>
      </c>
      <c r="L66" s="19" t="s">
        <v>222</v>
      </c>
    </row>
    <row r="67" customFormat="false" ht="27.75" hidden="false" customHeight="true" outlineLevel="0" collapsed="false">
      <c r="A67" s="16" t="s">
        <v>223</v>
      </c>
      <c r="B67" s="17" t="n">
        <v>9</v>
      </c>
      <c r="C67" s="16" t="s">
        <v>218</v>
      </c>
      <c r="D67" s="24" t="s">
        <v>17</v>
      </c>
      <c r="E67" s="19" t="s">
        <v>224</v>
      </c>
      <c r="F67" s="17" t="s">
        <v>217</v>
      </c>
      <c r="G67" s="17" t="str">
        <f aca="false">IF($F67="—","READY",IF(IFERROR(INDEX($H$2:$H$200,MATCH($F67,$A$2:$A$200,0)),"")="Done","READY","WAITING"))</f>
        <v>WAITING</v>
      </c>
      <c r="H67" s="20" t="s">
        <v>7</v>
      </c>
      <c r="I67" s="21"/>
      <c r="J67" s="22" t="n">
        <f aca="false">'Read Me'!$B$4+($B67-1)*7</f>
        <v>46300</v>
      </c>
      <c r="K67" s="22" t="n">
        <f aca="false">J67+6</f>
        <v>46306</v>
      </c>
      <c r="L67" s="19"/>
    </row>
    <row r="68" customFormat="false" ht="27.75" hidden="false" customHeight="true" outlineLevel="0" collapsed="false">
      <c r="A68" s="16" t="s">
        <v>225</v>
      </c>
      <c r="B68" s="17" t="n">
        <v>9</v>
      </c>
      <c r="C68" s="16" t="s">
        <v>218</v>
      </c>
      <c r="D68" s="24" t="s">
        <v>17</v>
      </c>
      <c r="E68" s="19" t="s">
        <v>226</v>
      </c>
      <c r="F68" s="17" t="s">
        <v>223</v>
      </c>
      <c r="G68" s="17" t="str">
        <f aca="false">IF($F68="—","READY",IF(IFERROR(INDEX($H$2:$H$200,MATCH($F68,$A$2:$A$200,0)),"")="Done","READY","WAITING"))</f>
        <v>WAITING</v>
      </c>
      <c r="H68" s="20" t="s">
        <v>7</v>
      </c>
      <c r="I68" s="21"/>
      <c r="J68" s="22" t="n">
        <f aca="false">'Read Me'!$B$4+($B68-1)*7</f>
        <v>46300</v>
      </c>
      <c r="K68" s="22" t="n">
        <f aca="false">J68+6</f>
        <v>46306</v>
      </c>
      <c r="L68" s="19" t="s">
        <v>227</v>
      </c>
    </row>
    <row r="69" customFormat="false" ht="27.75" hidden="false" customHeight="true" outlineLevel="0" collapsed="false">
      <c r="A69" s="16" t="s">
        <v>228</v>
      </c>
      <c r="B69" s="17" t="n">
        <v>10</v>
      </c>
      <c r="C69" s="16" t="s">
        <v>173</v>
      </c>
      <c r="D69" s="18" t="s">
        <v>15</v>
      </c>
      <c r="E69" s="19" t="s">
        <v>229</v>
      </c>
      <c r="F69" s="17" t="s">
        <v>205</v>
      </c>
      <c r="G69" s="17" t="str">
        <f aca="false">IF($F69="—","READY",IF(IFERROR(INDEX($H$2:$H$200,MATCH($F69,$A$2:$A$200,0)),"")="Done","READY","WAITING"))</f>
        <v>WAITING</v>
      </c>
      <c r="H69" s="20" t="s">
        <v>7</v>
      </c>
      <c r="I69" s="21"/>
      <c r="J69" s="22" t="n">
        <f aca="false">'Read Me'!$B$4+($B69-1)*7</f>
        <v>46307</v>
      </c>
      <c r="K69" s="22" t="n">
        <f aca="false">J69+6</f>
        <v>46313</v>
      </c>
      <c r="L69" s="19"/>
    </row>
    <row r="70" customFormat="false" ht="27.75" hidden="false" customHeight="true" outlineLevel="0" collapsed="false">
      <c r="A70" s="16" t="s">
        <v>230</v>
      </c>
      <c r="B70" s="17" t="n">
        <v>10</v>
      </c>
      <c r="C70" s="16" t="s">
        <v>173</v>
      </c>
      <c r="D70" s="18" t="s">
        <v>15</v>
      </c>
      <c r="E70" s="19" t="s">
        <v>231</v>
      </c>
      <c r="F70" s="17" t="s">
        <v>205</v>
      </c>
      <c r="G70" s="17" t="str">
        <f aca="false">IF($F70="—","READY",IF(IFERROR(INDEX($H$2:$H$200,MATCH($F70,$A$2:$A$200,0)),"")="Done","READY","WAITING"))</f>
        <v>WAITING</v>
      </c>
      <c r="H70" s="20" t="s">
        <v>7</v>
      </c>
      <c r="I70" s="21"/>
      <c r="J70" s="22" t="n">
        <f aca="false">'Read Me'!$B$4+($B70-1)*7</f>
        <v>46307</v>
      </c>
      <c r="K70" s="22" t="n">
        <f aca="false">J70+6</f>
        <v>46313</v>
      </c>
      <c r="L70" s="19" t="s">
        <v>232</v>
      </c>
    </row>
    <row r="71" customFormat="false" ht="27.75" hidden="false" customHeight="true" outlineLevel="0" collapsed="false">
      <c r="A71" s="16" t="s">
        <v>233</v>
      </c>
      <c r="B71" s="17" t="n">
        <v>10</v>
      </c>
      <c r="C71" s="16" t="s">
        <v>173</v>
      </c>
      <c r="D71" s="23" t="s">
        <v>16</v>
      </c>
      <c r="E71" s="19" t="s">
        <v>234</v>
      </c>
      <c r="F71" s="17" t="s">
        <v>178</v>
      </c>
      <c r="G71" s="17" t="str">
        <f aca="false">IF($F71="—","READY",IF(IFERROR(INDEX($H$2:$H$200,MATCH($F71,$A$2:$A$200,0)),"")="Done","READY","WAITING"))</f>
        <v>WAITING</v>
      </c>
      <c r="H71" s="20" t="s">
        <v>7</v>
      </c>
      <c r="I71" s="21"/>
      <c r="J71" s="22" t="n">
        <f aca="false">'Read Me'!$B$4+($B71-1)*7</f>
        <v>46307</v>
      </c>
      <c r="K71" s="22" t="n">
        <f aca="false">J71+6</f>
        <v>46313</v>
      </c>
      <c r="L71" s="19"/>
    </row>
    <row r="72" customFormat="false" ht="27.75" hidden="false" customHeight="true" outlineLevel="0" collapsed="false">
      <c r="A72" s="16" t="s">
        <v>235</v>
      </c>
      <c r="B72" s="17" t="n">
        <v>10</v>
      </c>
      <c r="C72" s="16" t="s">
        <v>173</v>
      </c>
      <c r="D72" s="23" t="s">
        <v>16</v>
      </c>
      <c r="E72" s="19" t="s">
        <v>236</v>
      </c>
      <c r="F72" s="17" t="s">
        <v>233</v>
      </c>
      <c r="G72" s="17" t="str">
        <f aca="false">IF($F72="—","READY",IF(IFERROR(INDEX($H$2:$H$200,MATCH($F72,$A$2:$A$200,0)),"")="Done","READY","WAITING"))</f>
        <v>WAITING</v>
      </c>
      <c r="H72" s="20" t="s">
        <v>7</v>
      </c>
      <c r="I72" s="21"/>
      <c r="J72" s="22" t="n">
        <f aca="false">'Read Me'!$B$4+($B72-1)*7</f>
        <v>46307</v>
      </c>
      <c r="K72" s="22" t="n">
        <f aca="false">J72+6</f>
        <v>46313</v>
      </c>
      <c r="L72" s="19" t="s">
        <v>237</v>
      </c>
    </row>
    <row r="73" customFormat="false" ht="27.75" hidden="false" customHeight="true" outlineLevel="0" collapsed="false">
      <c r="A73" s="16" t="s">
        <v>238</v>
      </c>
      <c r="B73" s="17" t="n">
        <v>10</v>
      </c>
      <c r="C73" s="16" t="s">
        <v>218</v>
      </c>
      <c r="D73" s="24" t="s">
        <v>17</v>
      </c>
      <c r="E73" s="19" t="s">
        <v>239</v>
      </c>
      <c r="F73" s="17" t="s">
        <v>240</v>
      </c>
      <c r="G73" s="17" t="str">
        <f aca="false">IF($F73="—","READY",IF(IFERROR(INDEX($H$2:$H$200,MATCH($F73,$A$2:$A$200,0)),"")="Done","READY","WAITING"))</f>
        <v>WAITING</v>
      </c>
      <c r="H73" s="20" t="s">
        <v>7</v>
      </c>
      <c r="I73" s="21"/>
      <c r="J73" s="22" t="n">
        <f aca="false">'Read Me'!$B$4+($B73-1)*7</f>
        <v>46307</v>
      </c>
      <c r="K73" s="22" t="n">
        <f aca="false">J73+6</f>
        <v>46313</v>
      </c>
      <c r="L73" s="19" t="s">
        <v>241</v>
      </c>
    </row>
    <row r="74" customFormat="false" ht="27.75" hidden="false" customHeight="true" outlineLevel="0" collapsed="false">
      <c r="A74" s="16" t="s">
        <v>242</v>
      </c>
      <c r="B74" s="17" t="n">
        <v>10</v>
      </c>
      <c r="C74" s="16" t="s">
        <v>218</v>
      </c>
      <c r="D74" s="24" t="s">
        <v>17</v>
      </c>
      <c r="E74" s="19" t="s">
        <v>243</v>
      </c>
      <c r="F74" s="17" t="s">
        <v>238</v>
      </c>
      <c r="G74" s="17" t="str">
        <f aca="false">IF($F74="—","READY",IF(IFERROR(INDEX($H$2:$H$200,MATCH($F74,$A$2:$A$200,0)),"")="Done","READY","WAITING"))</f>
        <v>WAITING</v>
      </c>
      <c r="H74" s="20" t="s">
        <v>7</v>
      </c>
      <c r="I74" s="21"/>
      <c r="J74" s="22" t="n">
        <f aca="false">'Read Me'!$B$4+($B74-1)*7</f>
        <v>46307</v>
      </c>
      <c r="K74" s="22" t="n">
        <f aca="false">J74+6</f>
        <v>46313</v>
      </c>
      <c r="L74" s="19"/>
    </row>
    <row r="75" customFormat="false" ht="27.75" hidden="false" customHeight="true" outlineLevel="0" collapsed="false">
      <c r="A75" s="16" t="s">
        <v>240</v>
      </c>
      <c r="B75" s="17" t="n">
        <v>11</v>
      </c>
      <c r="C75" s="16" t="s">
        <v>218</v>
      </c>
      <c r="D75" s="18" t="s">
        <v>15</v>
      </c>
      <c r="E75" s="19" t="s">
        <v>244</v>
      </c>
      <c r="F75" s="17" t="s">
        <v>228</v>
      </c>
      <c r="G75" s="17" t="str">
        <f aca="false">IF($F75="—","READY",IF(IFERROR(INDEX($H$2:$H$200,MATCH($F75,$A$2:$A$200,0)),"")="Done","READY","WAITING"))</f>
        <v>WAITING</v>
      </c>
      <c r="H75" s="20" t="s">
        <v>7</v>
      </c>
      <c r="I75" s="21"/>
      <c r="J75" s="22" t="n">
        <f aca="false">'Read Me'!$B$4+($B75-1)*7</f>
        <v>46314</v>
      </c>
      <c r="K75" s="22" t="n">
        <f aca="false">J75+6</f>
        <v>46320</v>
      </c>
      <c r="L75" s="19"/>
    </row>
    <row r="76" customFormat="false" ht="27.75" hidden="false" customHeight="true" outlineLevel="0" collapsed="false">
      <c r="A76" s="16" t="s">
        <v>245</v>
      </c>
      <c r="B76" s="17" t="n">
        <v>11</v>
      </c>
      <c r="C76" s="16" t="s">
        <v>218</v>
      </c>
      <c r="D76" s="18" t="s">
        <v>15</v>
      </c>
      <c r="E76" s="19" t="s">
        <v>246</v>
      </c>
      <c r="F76" s="17" t="s">
        <v>240</v>
      </c>
      <c r="G76" s="17" t="str">
        <f aca="false">IF($F76="—","READY",IF(IFERROR(INDEX($H$2:$H$200,MATCH($F76,$A$2:$A$200,0)),"")="Done","READY","WAITING"))</f>
        <v>WAITING</v>
      </c>
      <c r="H76" s="20" t="s">
        <v>7</v>
      </c>
      <c r="I76" s="21"/>
      <c r="J76" s="22" t="n">
        <f aca="false">'Read Me'!$B$4+($B76-1)*7</f>
        <v>46314</v>
      </c>
      <c r="K76" s="22" t="n">
        <f aca="false">J76+6</f>
        <v>46320</v>
      </c>
      <c r="L76" s="19"/>
    </row>
    <row r="77" customFormat="false" ht="27.75" hidden="false" customHeight="true" outlineLevel="0" collapsed="false">
      <c r="A77" s="16" t="s">
        <v>247</v>
      </c>
      <c r="B77" s="17" t="n">
        <v>11</v>
      </c>
      <c r="C77" s="16" t="s">
        <v>218</v>
      </c>
      <c r="D77" s="23" t="s">
        <v>16</v>
      </c>
      <c r="E77" s="19" t="s">
        <v>248</v>
      </c>
      <c r="F77" s="17" t="s">
        <v>235</v>
      </c>
      <c r="G77" s="17" t="str">
        <f aca="false">IF($F77="—","READY",IF(IFERROR(INDEX($H$2:$H$200,MATCH($F77,$A$2:$A$200,0)),"")="Done","READY","WAITING"))</f>
        <v>WAITING</v>
      </c>
      <c r="H77" s="20" t="s">
        <v>7</v>
      </c>
      <c r="I77" s="21"/>
      <c r="J77" s="22" t="n">
        <f aca="false">'Read Me'!$B$4+($B77-1)*7</f>
        <v>46314</v>
      </c>
      <c r="K77" s="22" t="n">
        <f aca="false">J77+6</f>
        <v>46320</v>
      </c>
      <c r="L77" s="19"/>
    </row>
    <row r="78" customFormat="false" ht="27.75" hidden="false" customHeight="true" outlineLevel="0" collapsed="false">
      <c r="A78" s="16" t="s">
        <v>249</v>
      </c>
      <c r="B78" s="17" t="n">
        <v>11</v>
      </c>
      <c r="C78" s="16" t="s">
        <v>218</v>
      </c>
      <c r="D78" s="23" t="s">
        <v>16</v>
      </c>
      <c r="E78" s="19" t="s">
        <v>250</v>
      </c>
      <c r="F78" s="17" t="s">
        <v>235</v>
      </c>
      <c r="G78" s="17" t="str">
        <f aca="false">IF($F78="—","READY",IF(IFERROR(INDEX($H$2:$H$200,MATCH($F78,$A$2:$A$200,0)),"")="Done","READY","WAITING"))</f>
        <v>WAITING</v>
      </c>
      <c r="H78" s="20" t="s">
        <v>7</v>
      </c>
      <c r="I78" s="21"/>
      <c r="J78" s="22" t="n">
        <f aca="false">'Read Me'!$B$4+($B78-1)*7</f>
        <v>46314</v>
      </c>
      <c r="K78" s="22" t="n">
        <f aca="false">J78+6</f>
        <v>46320</v>
      </c>
      <c r="L78" s="19" t="s">
        <v>251</v>
      </c>
    </row>
    <row r="79" customFormat="false" ht="27.75" hidden="false" customHeight="true" outlineLevel="0" collapsed="false">
      <c r="A79" s="16" t="s">
        <v>252</v>
      </c>
      <c r="B79" s="17" t="n">
        <v>11</v>
      </c>
      <c r="C79" s="16" t="s">
        <v>218</v>
      </c>
      <c r="D79" s="24" t="s">
        <v>17</v>
      </c>
      <c r="E79" s="19" t="s">
        <v>253</v>
      </c>
      <c r="F79" s="17" t="s">
        <v>242</v>
      </c>
      <c r="G79" s="17" t="str">
        <f aca="false">IF($F79="—","READY",IF(IFERROR(INDEX($H$2:$H$200,MATCH($F79,$A$2:$A$200,0)),"")="Done","READY","WAITING"))</f>
        <v>WAITING</v>
      </c>
      <c r="H79" s="20" t="s">
        <v>7</v>
      </c>
      <c r="I79" s="21"/>
      <c r="J79" s="22" t="n">
        <f aca="false">'Read Me'!$B$4+($B79-1)*7</f>
        <v>46314</v>
      </c>
      <c r="K79" s="22" t="n">
        <f aca="false">J79+6</f>
        <v>46320</v>
      </c>
      <c r="L79" s="19" t="s">
        <v>254</v>
      </c>
    </row>
    <row r="80" customFormat="false" ht="27.75" hidden="false" customHeight="true" outlineLevel="0" collapsed="false">
      <c r="A80" s="16" t="s">
        <v>255</v>
      </c>
      <c r="B80" s="17" t="n">
        <v>12</v>
      </c>
      <c r="C80" s="16" t="s">
        <v>218</v>
      </c>
      <c r="D80" s="18" t="s">
        <v>15</v>
      </c>
      <c r="E80" s="19" t="s">
        <v>256</v>
      </c>
      <c r="F80" s="17" t="s">
        <v>240</v>
      </c>
      <c r="G80" s="17" t="str">
        <f aca="false">IF($F80="—","READY",IF(IFERROR(INDEX($H$2:$H$200,MATCH($F80,$A$2:$A$200,0)),"")="Done","READY","WAITING"))</f>
        <v>WAITING</v>
      </c>
      <c r="H80" s="20" t="s">
        <v>7</v>
      </c>
      <c r="I80" s="21"/>
      <c r="J80" s="22" t="n">
        <f aca="false">'Read Me'!$B$4+($B80-1)*7</f>
        <v>46321</v>
      </c>
      <c r="K80" s="22" t="n">
        <f aca="false">J80+6</f>
        <v>46327</v>
      </c>
      <c r="L80" s="19" t="s">
        <v>257</v>
      </c>
    </row>
    <row r="81" customFormat="false" ht="27.75" hidden="false" customHeight="true" outlineLevel="0" collapsed="false">
      <c r="A81" s="16" t="s">
        <v>258</v>
      </c>
      <c r="B81" s="17" t="n">
        <v>12</v>
      </c>
      <c r="C81" s="16" t="s">
        <v>218</v>
      </c>
      <c r="D81" s="23" t="s">
        <v>16</v>
      </c>
      <c r="E81" s="19" t="s">
        <v>259</v>
      </c>
      <c r="F81" s="17" t="s">
        <v>189</v>
      </c>
      <c r="G81" s="17" t="str">
        <f aca="false">IF($F81="—","READY",IF(IFERROR(INDEX($H$2:$H$200,MATCH($F81,$A$2:$A$200,0)),"")="Done","READY","WAITING"))</f>
        <v>WAITING</v>
      </c>
      <c r="H81" s="20" t="s">
        <v>7</v>
      </c>
      <c r="I81" s="21"/>
      <c r="J81" s="22" t="n">
        <f aca="false">'Read Me'!$B$4+($B81-1)*7</f>
        <v>46321</v>
      </c>
      <c r="K81" s="22" t="n">
        <f aca="false">J81+6</f>
        <v>46327</v>
      </c>
      <c r="L81" s="19"/>
    </row>
    <row r="82" customFormat="false" ht="27.75" hidden="false" customHeight="true" outlineLevel="0" collapsed="false">
      <c r="A82" s="16" t="s">
        <v>260</v>
      </c>
      <c r="B82" s="17" t="n">
        <v>12</v>
      </c>
      <c r="C82" s="16" t="s">
        <v>218</v>
      </c>
      <c r="D82" s="23" t="s">
        <v>16</v>
      </c>
      <c r="E82" s="19" t="s">
        <v>261</v>
      </c>
      <c r="F82" s="17" t="s">
        <v>225</v>
      </c>
      <c r="G82" s="17" t="str">
        <f aca="false">IF($F82="—","READY",IF(IFERROR(INDEX($H$2:$H$200,MATCH($F82,$A$2:$A$200,0)),"")="Done","READY","WAITING"))</f>
        <v>WAITING</v>
      </c>
      <c r="H82" s="20" t="s">
        <v>7</v>
      </c>
      <c r="I82" s="21"/>
      <c r="J82" s="22" t="n">
        <f aca="false">'Read Me'!$B$4+($B82-1)*7</f>
        <v>46321</v>
      </c>
      <c r="K82" s="22" t="n">
        <f aca="false">J82+6</f>
        <v>46327</v>
      </c>
      <c r="L82" s="19" t="s">
        <v>262</v>
      </c>
    </row>
    <row r="83" customFormat="false" ht="27.75" hidden="false" customHeight="true" outlineLevel="0" collapsed="false">
      <c r="A83" s="16" t="s">
        <v>263</v>
      </c>
      <c r="B83" s="17" t="n">
        <v>12</v>
      </c>
      <c r="C83" s="16" t="s">
        <v>218</v>
      </c>
      <c r="D83" s="24" t="s">
        <v>17</v>
      </c>
      <c r="E83" s="19" t="s">
        <v>264</v>
      </c>
      <c r="F83" s="17" t="s">
        <v>252</v>
      </c>
      <c r="G83" s="17" t="str">
        <f aca="false">IF($F83="—","READY",IF(IFERROR(INDEX($H$2:$H$200,MATCH($F83,$A$2:$A$200,0)),"")="Done","READY","WAITING"))</f>
        <v>WAITING</v>
      </c>
      <c r="H83" s="20" t="s">
        <v>7</v>
      </c>
      <c r="I83" s="21"/>
      <c r="J83" s="22" t="n">
        <f aca="false">'Read Me'!$B$4+($B83-1)*7</f>
        <v>46321</v>
      </c>
      <c r="K83" s="22" t="n">
        <f aca="false">J83+6</f>
        <v>46327</v>
      </c>
      <c r="L83" s="19"/>
    </row>
    <row r="84" customFormat="false" ht="27.75" hidden="false" customHeight="true" outlineLevel="0" collapsed="false">
      <c r="A84" s="16" t="s">
        <v>265</v>
      </c>
      <c r="B84" s="17" t="n">
        <v>12</v>
      </c>
      <c r="C84" s="16" t="s">
        <v>218</v>
      </c>
      <c r="D84" s="24" t="s">
        <v>17</v>
      </c>
      <c r="E84" s="19" t="s">
        <v>266</v>
      </c>
      <c r="F84" s="17" t="s">
        <v>252</v>
      </c>
      <c r="G84" s="17" t="str">
        <f aca="false">IF($F84="—","READY",IF(IFERROR(INDEX($H$2:$H$200,MATCH($F84,$A$2:$A$200,0)),"")="Done","READY","WAITING"))</f>
        <v>WAITING</v>
      </c>
      <c r="H84" s="20" t="s">
        <v>7</v>
      </c>
      <c r="I84" s="21"/>
      <c r="J84" s="22" t="n">
        <f aca="false">'Read Me'!$B$4+($B84-1)*7</f>
        <v>46321</v>
      </c>
      <c r="K84" s="22" t="n">
        <f aca="false">J84+6</f>
        <v>46327</v>
      </c>
      <c r="L84" s="19" t="s">
        <v>267</v>
      </c>
    </row>
    <row r="85" customFormat="false" ht="27.75" hidden="false" customHeight="true" outlineLevel="0" collapsed="false">
      <c r="A85" s="16" t="s">
        <v>268</v>
      </c>
      <c r="B85" s="17" t="n">
        <v>12</v>
      </c>
      <c r="C85" s="16" t="s">
        <v>218</v>
      </c>
      <c r="D85" s="24" t="s">
        <v>17</v>
      </c>
      <c r="E85" s="19" t="s">
        <v>269</v>
      </c>
      <c r="F85" s="17" t="s">
        <v>242</v>
      </c>
      <c r="G85" s="17" t="str">
        <f aca="false">IF($F85="—","READY",IF(IFERROR(INDEX($H$2:$H$200,MATCH($F85,$A$2:$A$200,0)),"")="Done","READY","WAITING"))</f>
        <v>WAITING</v>
      </c>
      <c r="H85" s="20" t="s">
        <v>7</v>
      </c>
      <c r="I85" s="21"/>
      <c r="J85" s="22" t="n">
        <f aca="false">'Read Me'!$B$4+($B85-1)*7</f>
        <v>46321</v>
      </c>
      <c r="K85" s="22" t="n">
        <f aca="false">J85+6</f>
        <v>46327</v>
      </c>
      <c r="L85" s="19"/>
    </row>
    <row r="86" customFormat="false" ht="27.75" hidden="false" customHeight="true" outlineLevel="0" collapsed="false">
      <c r="A86" s="16" t="s">
        <v>270</v>
      </c>
      <c r="B86" s="17" t="n">
        <v>13</v>
      </c>
      <c r="C86" s="16" t="s">
        <v>271</v>
      </c>
      <c r="D86" s="18" t="s">
        <v>15</v>
      </c>
      <c r="E86" s="19" t="s">
        <v>272</v>
      </c>
      <c r="F86" s="17" t="s">
        <v>160</v>
      </c>
      <c r="G86" s="17" t="str">
        <f aca="false">IF($F86="—","READY",IF(IFERROR(INDEX($H$2:$H$200,MATCH($F86,$A$2:$A$200,0)),"")="Done","READY","WAITING"))</f>
        <v>WAITING</v>
      </c>
      <c r="H86" s="20" t="s">
        <v>7</v>
      </c>
      <c r="I86" s="21"/>
      <c r="J86" s="22" t="n">
        <f aca="false">'Read Me'!$B$4+($B86-1)*7</f>
        <v>46328</v>
      </c>
      <c r="K86" s="22" t="n">
        <f aca="false">J86+6</f>
        <v>46334</v>
      </c>
      <c r="L86" s="19"/>
    </row>
    <row r="87" customFormat="false" ht="27.75" hidden="false" customHeight="true" outlineLevel="0" collapsed="false">
      <c r="A87" s="16" t="s">
        <v>273</v>
      </c>
      <c r="B87" s="17" t="n">
        <v>13</v>
      </c>
      <c r="C87" s="16" t="s">
        <v>271</v>
      </c>
      <c r="D87" s="18" t="s">
        <v>15</v>
      </c>
      <c r="E87" s="19" t="s">
        <v>274</v>
      </c>
      <c r="F87" s="17" t="s">
        <v>270</v>
      </c>
      <c r="G87" s="17" t="str">
        <f aca="false">IF($F87="—","READY",IF(IFERROR(INDEX($H$2:$H$200,MATCH($F87,$A$2:$A$200,0)),"")="Done","READY","WAITING"))</f>
        <v>WAITING</v>
      </c>
      <c r="H87" s="20" t="s">
        <v>7</v>
      </c>
      <c r="I87" s="21"/>
      <c r="J87" s="22" t="n">
        <f aca="false">'Read Me'!$B$4+($B87-1)*7</f>
        <v>46328</v>
      </c>
      <c r="K87" s="22" t="n">
        <f aca="false">J87+6</f>
        <v>46334</v>
      </c>
      <c r="L87" s="19"/>
    </row>
    <row r="88" customFormat="false" ht="27.75" hidden="false" customHeight="true" outlineLevel="0" collapsed="false">
      <c r="A88" s="16" t="s">
        <v>275</v>
      </c>
      <c r="B88" s="17" t="n">
        <v>13</v>
      </c>
      <c r="C88" s="16" t="s">
        <v>218</v>
      </c>
      <c r="D88" s="23" t="s">
        <v>16</v>
      </c>
      <c r="E88" s="19" t="s">
        <v>276</v>
      </c>
      <c r="F88" s="17" t="s">
        <v>235</v>
      </c>
      <c r="G88" s="17" t="str">
        <f aca="false">IF($F88="—","READY",IF(IFERROR(INDEX($H$2:$H$200,MATCH($F88,$A$2:$A$200,0)),"")="Done","READY","WAITING"))</f>
        <v>WAITING</v>
      </c>
      <c r="H88" s="20" t="s">
        <v>7</v>
      </c>
      <c r="I88" s="21"/>
      <c r="J88" s="22" t="n">
        <f aca="false">'Read Me'!$B$4+($B88-1)*7</f>
        <v>46328</v>
      </c>
      <c r="K88" s="22" t="n">
        <f aca="false">J88+6</f>
        <v>46334</v>
      </c>
      <c r="L88" s="19" t="s">
        <v>277</v>
      </c>
    </row>
    <row r="89" customFormat="false" ht="27.75" hidden="false" customHeight="true" outlineLevel="0" collapsed="false">
      <c r="A89" s="16" t="s">
        <v>278</v>
      </c>
      <c r="B89" s="17" t="n">
        <v>13</v>
      </c>
      <c r="C89" s="16" t="s">
        <v>218</v>
      </c>
      <c r="D89" s="24" t="s">
        <v>17</v>
      </c>
      <c r="E89" s="19" t="s">
        <v>279</v>
      </c>
      <c r="F89" s="17" t="s">
        <v>265</v>
      </c>
      <c r="G89" s="17" t="str">
        <f aca="false">IF($F89="—","READY",IF(IFERROR(INDEX($H$2:$H$200,MATCH($F89,$A$2:$A$200,0)),"")="Done","READY","WAITING"))</f>
        <v>WAITING</v>
      </c>
      <c r="H89" s="20" t="s">
        <v>7</v>
      </c>
      <c r="I89" s="21"/>
      <c r="J89" s="22" t="n">
        <f aca="false">'Read Me'!$B$4+($B89-1)*7</f>
        <v>46328</v>
      </c>
      <c r="K89" s="22" t="n">
        <f aca="false">J89+6</f>
        <v>46334</v>
      </c>
      <c r="L89" s="19" t="s">
        <v>280</v>
      </c>
    </row>
    <row r="90" customFormat="false" ht="27.75" hidden="false" customHeight="true" outlineLevel="0" collapsed="false">
      <c r="A90" s="16" t="s">
        <v>281</v>
      </c>
      <c r="B90" s="17" t="n">
        <v>14</v>
      </c>
      <c r="C90" s="16" t="s">
        <v>271</v>
      </c>
      <c r="D90" s="18" t="s">
        <v>15</v>
      </c>
      <c r="E90" s="19" t="s">
        <v>282</v>
      </c>
      <c r="F90" s="17" t="s">
        <v>230</v>
      </c>
      <c r="G90" s="17" t="str">
        <f aca="false">IF($F90="—","READY",IF(IFERROR(INDEX($H$2:$H$200,MATCH($F90,$A$2:$A$200,0)),"")="Done","READY","WAITING"))</f>
        <v>WAITING</v>
      </c>
      <c r="H90" s="20" t="s">
        <v>7</v>
      </c>
      <c r="I90" s="21"/>
      <c r="J90" s="22" t="n">
        <f aca="false">'Read Me'!$B$4+($B90-1)*7</f>
        <v>46335</v>
      </c>
      <c r="K90" s="22" t="n">
        <f aca="false">J90+6</f>
        <v>46341</v>
      </c>
      <c r="L90" s="19"/>
    </row>
    <row r="91" customFormat="false" ht="27.75" hidden="false" customHeight="true" outlineLevel="0" collapsed="false">
      <c r="A91" s="16" t="s">
        <v>283</v>
      </c>
      <c r="B91" s="17" t="n">
        <v>14</v>
      </c>
      <c r="C91" s="16" t="s">
        <v>271</v>
      </c>
      <c r="D91" s="18" t="s">
        <v>15</v>
      </c>
      <c r="E91" s="19" t="s">
        <v>284</v>
      </c>
      <c r="F91" s="17" t="s">
        <v>281</v>
      </c>
      <c r="G91" s="17" t="str">
        <f aca="false">IF($F91="—","READY",IF(IFERROR(INDEX($H$2:$H$200,MATCH($F91,$A$2:$A$200,0)),"")="Done","READY","WAITING"))</f>
        <v>WAITING</v>
      </c>
      <c r="H91" s="20" t="s">
        <v>7</v>
      </c>
      <c r="I91" s="21"/>
      <c r="J91" s="22" t="n">
        <f aca="false">'Read Me'!$B$4+($B91-1)*7</f>
        <v>46335</v>
      </c>
      <c r="K91" s="22" t="n">
        <f aca="false">J91+6</f>
        <v>46341</v>
      </c>
      <c r="L91" s="19"/>
    </row>
    <row r="92" customFormat="false" ht="27.75" hidden="false" customHeight="true" outlineLevel="0" collapsed="false">
      <c r="A92" s="16" t="s">
        <v>285</v>
      </c>
      <c r="B92" s="17" t="n">
        <v>14</v>
      </c>
      <c r="C92" s="16" t="s">
        <v>271</v>
      </c>
      <c r="D92" s="23" t="s">
        <v>16</v>
      </c>
      <c r="E92" s="19" t="s">
        <v>286</v>
      </c>
      <c r="F92" s="17" t="s">
        <v>228</v>
      </c>
      <c r="G92" s="17" t="str">
        <f aca="false">IF($F92="—","READY",IF(IFERROR(INDEX($H$2:$H$200,MATCH($F92,$A$2:$A$200,0)),"")="Done","READY","WAITING"))</f>
        <v>WAITING</v>
      </c>
      <c r="H92" s="20" t="s">
        <v>7</v>
      </c>
      <c r="I92" s="21"/>
      <c r="J92" s="22" t="n">
        <f aca="false">'Read Me'!$B$4+($B92-1)*7</f>
        <v>46335</v>
      </c>
      <c r="K92" s="22" t="n">
        <f aca="false">J92+6</f>
        <v>46341</v>
      </c>
      <c r="L92" s="19"/>
    </row>
    <row r="93" customFormat="false" ht="27.75" hidden="false" customHeight="true" outlineLevel="0" collapsed="false">
      <c r="A93" s="16" t="s">
        <v>287</v>
      </c>
      <c r="B93" s="17" t="n">
        <v>14</v>
      </c>
      <c r="C93" s="16" t="s">
        <v>271</v>
      </c>
      <c r="D93" s="23" t="s">
        <v>16</v>
      </c>
      <c r="E93" s="19" t="s">
        <v>288</v>
      </c>
      <c r="F93" s="17" t="s">
        <v>281</v>
      </c>
      <c r="G93" s="17" t="str">
        <f aca="false">IF($F93="—","READY",IF(IFERROR(INDEX($H$2:$H$200,MATCH($F93,$A$2:$A$200,0)),"")="Done","READY","WAITING"))</f>
        <v>WAITING</v>
      </c>
      <c r="H93" s="20" t="s">
        <v>7</v>
      </c>
      <c r="I93" s="21"/>
      <c r="J93" s="22" t="n">
        <f aca="false">'Read Me'!$B$4+($B93-1)*7</f>
        <v>46335</v>
      </c>
      <c r="K93" s="22" t="n">
        <f aca="false">J93+6</f>
        <v>46341</v>
      </c>
      <c r="L93" s="19"/>
    </row>
    <row r="94" customFormat="false" ht="27.75" hidden="false" customHeight="true" outlineLevel="0" collapsed="false">
      <c r="A94" s="16" t="s">
        <v>289</v>
      </c>
      <c r="B94" s="17" t="n">
        <v>14</v>
      </c>
      <c r="C94" s="16" t="s">
        <v>271</v>
      </c>
      <c r="D94" s="24" t="s">
        <v>17</v>
      </c>
      <c r="E94" s="19" t="s">
        <v>290</v>
      </c>
      <c r="F94" s="17" t="s">
        <v>270</v>
      </c>
      <c r="G94" s="17" t="str">
        <f aca="false">IF($F94="—","READY",IF(IFERROR(INDEX($H$2:$H$200,MATCH($F94,$A$2:$A$200,0)),"")="Done","READY","WAITING"))</f>
        <v>WAITING</v>
      </c>
      <c r="H94" s="20" t="s">
        <v>7</v>
      </c>
      <c r="I94" s="21"/>
      <c r="J94" s="22" t="n">
        <f aca="false">'Read Me'!$B$4+($B94-1)*7</f>
        <v>46335</v>
      </c>
      <c r="K94" s="22" t="n">
        <f aca="false">J94+6</f>
        <v>46341</v>
      </c>
      <c r="L94" s="19"/>
    </row>
    <row r="95" customFormat="false" ht="27.75" hidden="false" customHeight="true" outlineLevel="0" collapsed="false">
      <c r="A95" s="16" t="s">
        <v>291</v>
      </c>
      <c r="B95" s="17" t="n">
        <v>14</v>
      </c>
      <c r="C95" s="16" t="s">
        <v>271</v>
      </c>
      <c r="D95" s="24" t="s">
        <v>17</v>
      </c>
      <c r="E95" s="19" t="s">
        <v>292</v>
      </c>
      <c r="F95" s="17" t="s">
        <v>289</v>
      </c>
      <c r="G95" s="17" t="str">
        <f aca="false">IF($F95="—","READY",IF(IFERROR(INDEX($H$2:$H$200,MATCH($F95,$A$2:$A$200,0)),"")="Done","READY","WAITING"))</f>
        <v>WAITING</v>
      </c>
      <c r="H95" s="20" t="s">
        <v>7</v>
      </c>
      <c r="I95" s="21"/>
      <c r="J95" s="22" t="n">
        <f aca="false">'Read Me'!$B$4+($B95-1)*7</f>
        <v>46335</v>
      </c>
      <c r="K95" s="22" t="n">
        <f aca="false">J95+6</f>
        <v>46341</v>
      </c>
      <c r="L95" s="19"/>
    </row>
    <row r="96" customFormat="false" ht="27.75" hidden="false" customHeight="true" outlineLevel="0" collapsed="false">
      <c r="A96" s="16" t="s">
        <v>293</v>
      </c>
      <c r="B96" s="17" t="n">
        <v>15</v>
      </c>
      <c r="C96" s="16" t="s">
        <v>294</v>
      </c>
      <c r="D96" s="18" t="s">
        <v>15</v>
      </c>
      <c r="E96" s="19" t="s">
        <v>295</v>
      </c>
      <c r="F96" s="17" t="s">
        <v>283</v>
      </c>
      <c r="G96" s="17" t="str">
        <f aca="false">IF($F96="—","READY",IF(IFERROR(INDEX($H$2:$H$200,MATCH($F96,$A$2:$A$200,0)),"")="Done","READY","WAITING"))</f>
        <v>WAITING</v>
      </c>
      <c r="H96" s="20" t="s">
        <v>7</v>
      </c>
      <c r="I96" s="21"/>
      <c r="J96" s="22" t="n">
        <f aca="false">'Read Me'!$B$4+($B96-1)*7</f>
        <v>46342</v>
      </c>
      <c r="K96" s="22" t="n">
        <f aca="false">J96+6</f>
        <v>46348</v>
      </c>
      <c r="L96" s="19"/>
    </row>
    <row r="97" customFormat="false" ht="27.75" hidden="false" customHeight="true" outlineLevel="0" collapsed="false">
      <c r="A97" s="16" t="s">
        <v>296</v>
      </c>
      <c r="B97" s="17" t="n">
        <v>15</v>
      </c>
      <c r="C97" s="16" t="s">
        <v>294</v>
      </c>
      <c r="D97" s="18" t="s">
        <v>15</v>
      </c>
      <c r="E97" s="19" t="s">
        <v>297</v>
      </c>
      <c r="F97" s="17" t="s">
        <v>293</v>
      </c>
      <c r="G97" s="17" t="str">
        <f aca="false">IF($F97="—","READY",IF(IFERROR(INDEX($H$2:$H$200,MATCH($F97,$A$2:$A$200,0)),"")="Done","READY","WAITING"))</f>
        <v>WAITING</v>
      </c>
      <c r="H97" s="20" t="s">
        <v>7</v>
      </c>
      <c r="I97" s="21"/>
      <c r="J97" s="22" t="n">
        <f aca="false">'Read Me'!$B$4+($B97-1)*7</f>
        <v>46342</v>
      </c>
      <c r="K97" s="22" t="n">
        <f aca="false">J97+6</f>
        <v>46348</v>
      </c>
      <c r="L97" s="19" t="s">
        <v>298</v>
      </c>
    </row>
    <row r="98" customFormat="false" ht="27.75" hidden="false" customHeight="true" outlineLevel="0" collapsed="false">
      <c r="A98" s="16" t="s">
        <v>299</v>
      </c>
      <c r="B98" s="17" t="n">
        <v>15</v>
      </c>
      <c r="C98" s="16" t="s">
        <v>294</v>
      </c>
      <c r="D98" s="23" t="s">
        <v>16</v>
      </c>
      <c r="E98" s="19" t="s">
        <v>300</v>
      </c>
      <c r="F98" s="17" t="s">
        <v>287</v>
      </c>
      <c r="G98" s="17" t="str">
        <f aca="false">IF($F98="—","READY",IF(IFERROR(INDEX($H$2:$H$200,MATCH($F98,$A$2:$A$200,0)),"")="Done","READY","WAITING"))</f>
        <v>WAITING</v>
      </c>
      <c r="H98" s="20" t="s">
        <v>7</v>
      </c>
      <c r="I98" s="21"/>
      <c r="J98" s="22" t="n">
        <f aca="false">'Read Me'!$B$4+($B98-1)*7</f>
        <v>46342</v>
      </c>
      <c r="K98" s="22" t="n">
        <f aca="false">J98+6</f>
        <v>46348</v>
      </c>
      <c r="L98" s="19" t="s">
        <v>301</v>
      </c>
    </row>
    <row r="99" customFormat="false" ht="27.75" hidden="false" customHeight="true" outlineLevel="0" collapsed="false">
      <c r="A99" s="16" t="s">
        <v>302</v>
      </c>
      <c r="B99" s="17" t="n">
        <v>15</v>
      </c>
      <c r="C99" s="16" t="s">
        <v>294</v>
      </c>
      <c r="D99" s="23" t="s">
        <v>16</v>
      </c>
      <c r="E99" s="19" t="s">
        <v>303</v>
      </c>
      <c r="F99" s="17" t="s">
        <v>299</v>
      </c>
      <c r="G99" s="17" t="str">
        <f aca="false">IF($F99="—","READY",IF(IFERROR(INDEX($H$2:$H$200,MATCH($F99,$A$2:$A$200,0)),"")="Done","READY","WAITING"))</f>
        <v>WAITING</v>
      </c>
      <c r="H99" s="20" t="s">
        <v>7</v>
      </c>
      <c r="I99" s="21"/>
      <c r="J99" s="22" t="n">
        <f aca="false">'Read Me'!$B$4+($B99-1)*7</f>
        <v>46342</v>
      </c>
      <c r="K99" s="22" t="n">
        <f aca="false">J99+6</f>
        <v>46348</v>
      </c>
      <c r="L99" s="19"/>
    </row>
    <row r="100" customFormat="false" ht="27.75" hidden="false" customHeight="true" outlineLevel="0" collapsed="false">
      <c r="A100" s="16" t="s">
        <v>304</v>
      </c>
      <c r="B100" s="17" t="n">
        <v>15</v>
      </c>
      <c r="C100" s="16" t="s">
        <v>294</v>
      </c>
      <c r="D100" s="24" t="s">
        <v>17</v>
      </c>
      <c r="E100" s="19" t="s">
        <v>305</v>
      </c>
      <c r="F100" s="17" t="s">
        <v>278</v>
      </c>
      <c r="G100" s="17" t="str">
        <f aca="false">IF($F100="—","READY",IF(IFERROR(INDEX($H$2:$H$200,MATCH($F100,$A$2:$A$200,0)),"")="Done","READY","WAITING"))</f>
        <v>WAITING</v>
      </c>
      <c r="H100" s="20" t="s">
        <v>7</v>
      </c>
      <c r="I100" s="21"/>
      <c r="J100" s="22" t="n">
        <f aca="false">'Read Me'!$B$4+($B100-1)*7</f>
        <v>46342</v>
      </c>
      <c r="K100" s="22" t="n">
        <f aca="false">J100+6</f>
        <v>46348</v>
      </c>
      <c r="L100" s="19"/>
    </row>
    <row r="101" customFormat="false" ht="27.75" hidden="false" customHeight="true" outlineLevel="0" collapsed="false">
      <c r="A101" s="16" t="s">
        <v>306</v>
      </c>
      <c r="B101" s="17" t="n">
        <v>15</v>
      </c>
      <c r="C101" s="16" t="s">
        <v>294</v>
      </c>
      <c r="D101" s="24" t="s">
        <v>17</v>
      </c>
      <c r="E101" s="19" t="s">
        <v>307</v>
      </c>
      <c r="F101" s="17" t="s">
        <v>304</v>
      </c>
      <c r="G101" s="17" t="str">
        <f aca="false">IF($F101="—","READY",IF(IFERROR(INDEX($H$2:$H$200,MATCH($F101,$A$2:$A$200,0)),"")="Done","READY","WAITING"))</f>
        <v>WAITING</v>
      </c>
      <c r="H101" s="20" t="s">
        <v>7</v>
      </c>
      <c r="I101" s="21"/>
      <c r="J101" s="22" t="n">
        <f aca="false">'Read Me'!$B$4+($B101-1)*7</f>
        <v>46342</v>
      </c>
      <c r="K101" s="22" t="n">
        <f aca="false">J101+6</f>
        <v>46348</v>
      </c>
      <c r="L101" s="19"/>
    </row>
    <row r="102" customFormat="false" ht="27.75" hidden="false" customHeight="true" outlineLevel="0" collapsed="false">
      <c r="A102" s="16" t="s">
        <v>308</v>
      </c>
      <c r="B102" s="17" t="n">
        <v>16</v>
      </c>
      <c r="C102" s="16" t="s">
        <v>309</v>
      </c>
      <c r="D102" s="18" t="s">
        <v>15</v>
      </c>
      <c r="E102" s="19" t="s">
        <v>310</v>
      </c>
      <c r="F102" s="17" t="s">
        <v>296</v>
      </c>
      <c r="G102" s="17" t="str">
        <f aca="false">IF($F102="—","READY",IF(IFERROR(INDEX($H$2:$H$200,MATCH($F102,$A$2:$A$200,0)),"")="Done","READY","WAITING"))</f>
        <v>WAITING</v>
      </c>
      <c r="H102" s="20" t="s">
        <v>7</v>
      </c>
      <c r="I102" s="21"/>
      <c r="J102" s="22" t="n">
        <f aca="false">'Read Me'!$B$4+($B102-1)*7</f>
        <v>46349</v>
      </c>
      <c r="K102" s="22" t="n">
        <f aca="false">J102+6</f>
        <v>46355</v>
      </c>
      <c r="L102" s="19"/>
    </row>
    <row r="103" customFormat="false" ht="27.75" hidden="false" customHeight="true" outlineLevel="0" collapsed="false">
      <c r="A103" s="16" t="s">
        <v>311</v>
      </c>
      <c r="B103" s="17" t="n">
        <v>16</v>
      </c>
      <c r="C103" s="16" t="s">
        <v>309</v>
      </c>
      <c r="D103" s="23" t="s">
        <v>16</v>
      </c>
      <c r="E103" s="19" t="s">
        <v>312</v>
      </c>
      <c r="F103" s="17" t="s">
        <v>302</v>
      </c>
      <c r="G103" s="17" t="str">
        <f aca="false">IF($F103="—","READY",IF(IFERROR(INDEX($H$2:$H$200,MATCH($F103,$A$2:$A$200,0)),"")="Done","READY","WAITING"))</f>
        <v>WAITING</v>
      </c>
      <c r="H103" s="20" t="s">
        <v>7</v>
      </c>
      <c r="I103" s="21"/>
      <c r="J103" s="22" t="n">
        <f aca="false">'Read Me'!$B$4+($B103-1)*7</f>
        <v>46349</v>
      </c>
      <c r="K103" s="22" t="n">
        <f aca="false">J103+6</f>
        <v>46355</v>
      </c>
      <c r="L103" s="19"/>
    </row>
    <row r="104" customFormat="false" ht="27.75" hidden="false" customHeight="true" outlineLevel="0" collapsed="false">
      <c r="A104" s="16" t="s">
        <v>313</v>
      </c>
      <c r="B104" s="17" t="n">
        <v>16</v>
      </c>
      <c r="C104" s="16" t="s">
        <v>309</v>
      </c>
      <c r="D104" s="24" t="s">
        <v>17</v>
      </c>
      <c r="E104" s="19" t="s">
        <v>314</v>
      </c>
      <c r="F104" s="17" t="s">
        <v>306</v>
      </c>
      <c r="G104" s="17" t="str">
        <f aca="false">IF($F104="—","READY",IF(IFERROR(INDEX($H$2:$H$200,MATCH($F104,$A$2:$A$200,0)),"")="Done","READY","WAITING"))</f>
        <v>WAITING</v>
      </c>
      <c r="H104" s="20" t="s">
        <v>7</v>
      </c>
      <c r="I104" s="21"/>
      <c r="J104" s="22" t="n">
        <f aca="false">'Read Me'!$B$4+($B104-1)*7</f>
        <v>46349</v>
      </c>
      <c r="K104" s="22" t="n">
        <f aca="false">J104+6</f>
        <v>46355</v>
      </c>
      <c r="L104" s="19"/>
    </row>
  </sheetData>
  <autoFilter ref="A1:L104"/>
  <conditionalFormatting sqref="H2:H104">
    <cfRule type="cellIs" priority="2" operator="equal" aboveAverage="0" equalAverage="0" bottom="0" percent="0" rank="0" text="" dxfId="12">
      <formula>"Done"</formula>
    </cfRule>
    <cfRule type="cellIs" priority="3" operator="equal" aboveAverage="0" equalAverage="0" bottom="0" percent="0" rank="0" text="" dxfId="13">
      <formula>"In Progress"</formula>
    </cfRule>
    <cfRule type="cellIs" priority="4" operator="equal" aboveAverage="0" equalAverage="0" bottom="0" percent="0" rank="0" text="" dxfId="14">
      <formula>"Blocked"</formula>
    </cfRule>
  </conditionalFormatting>
  <conditionalFormatting sqref="G2:G104">
    <cfRule type="cellIs" priority="5" operator="equal" aboveAverage="0" equalAverage="0" bottom="0" percent="0" rank="0" text="" dxfId="15">
      <formula>"READY"</formula>
    </cfRule>
    <cfRule type="cellIs" priority="6" operator="equal" aboveAverage="0" equalAverage="0" bottom="0" percent="0" rank="0" text="" dxfId="16">
      <formula>"WAITING"</formula>
    </cfRule>
  </conditionalFormatting>
  <conditionalFormatting sqref="A2:L104">
    <cfRule type="expression" priority="7" aboveAverage="0" equalAverage="0" bottom="0" percent="0" rank="0" text="" dxfId="17">
      <formula>ISNUMBER(SEARCH("BLOCKED",$L2))</formula>
    </cfRule>
  </conditionalFormatting>
  <dataValidations count="1">
    <dataValidation allowBlank="false" errorStyle="stop" operator="between" showDropDown="false" showErrorMessage="false" showInputMessage="false" sqref="H2:H104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6" min="4" style="0" width="40"/>
    <col collapsed="false" customWidth="true" hidden="false" outlineLevel="0" max="7" min="7" style="0" width="26"/>
  </cols>
  <sheetData>
    <row r="1" customFormat="false" ht="15" hidden="false" customHeight="false" outlineLevel="0" collapsed="false">
      <c r="A1" s="15" t="s">
        <v>42</v>
      </c>
      <c r="B1" s="15" t="s">
        <v>25</v>
      </c>
      <c r="C1" s="15" t="s">
        <v>43</v>
      </c>
      <c r="D1" s="15" t="s">
        <v>15</v>
      </c>
      <c r="E1" s="15" t="s">
        <v>16</v>
      </c>
      <c r="F1" s="15" t="s">
        <v>17</v>
      </c>
      <c r="G1" s="15" t="s">
        <v>315</v>
      </c>
    </row>
    <row r="2" customFormat="false" ht="61.5" hidden="false" customHeight="true" outlineLevel="0" collapsed="false">
      <c r="A2" s="25" t="n">
        <v>1</v>
      </c>
      <c r="B2" s="26" t="n">
        <f aca="false">'Read Me'!$B$4+(1-1)*7</f>
        <v>46244</v>
      </c>
      <c r="C2" s="27" t="s">
        <v>54</v>
      </c>
      <c r="D2" s="27" t="s">
        <v>316</v>
      </c>
      <c r="E2" s="27" t="s">
        <v>317</v>
      </c>
      <c r="F2" s="27" t="s">
        <v>318</v>
      </c>
      <c r="G2" s="27"/>
    </row>
    <row r="3" customFormat="false" ht="61.5" hidden="false" customHeight="true" outlineLevel="0" collapsed="false">
      <c r="A3" s="25" t="n">
        <v>2</v>
      </c>
      <c r="B3" s="26" t="n">
        <f aca="false">'Read Me'!$B$4+(2-1)*7</f>
        <v>46251</v>
      </c>
      <c r="C3" s="27" t="s">
        <v>54</v>
      </c>
      <c r="D3" s="27" t="s">
        <v>319</v>
      </c>
      <c r="E3" s="27" t="s">
        <v>320</v>
      </c>
      <c r="F3" s="27" t="s">
        <v>321</v>
      </c>
      <c r="G3" s="28" t="s">
        <v>322</v>
      </c>
    </row>
    <row r="4" customFormat="false" ht="61.5" hidden="false" customHeight="true" outlineLevel="0" collapsed="false">
      <c r="A4" s="29" t="n">
        <v>3</v>
      </c>
      <c r="B4" s="30" t="n">
        <f aca="false">'Read Me'!$B$4+(3-1)*7</f>
        <v>46258</v>
      </c>
      <c r="C4" s="31" t="s">
        <v>112</v>
      </c>
      <c r="D4" s="31" t="s">
        <v>323</v>
      </c>
      <c r="E4" s="31" t="s">
        <v>324</v>
      </c>
      <c r="F4" s="31" t="s">
        <v>325</v>
      </c>
      <c r="G4" s="31"/>
    </row>
    <row r="5" customFormat="false" ht="61.5" hidden="false" customHeight="true" outlineLevel="0" collapsed="false">
      <c r="A5" s="29" t="n">
        <v>4</v>
      </c>
      <c r="B5" s="30" t="n">
        <f aca="false">'Read Me'!$B$4+(4-1)*7</f>
        <v>46265</v>
      </c>
      <c r="C5" s="31" t="s">
        <v>112</v>
      </c>
      <c r="D5" s="31" t="s">
        <v>326</v>
      </c>
      <c r="E5" s="31" t="s">
        <v>327</v>
      </c>
      <c r="F5" s="31" t="s">
        <v>328</v>
      </c>
      <c r="G5" s="31"/>
    </row>
    <row r="6" customFormat="false" ht="61.5" hidden="false" customHeight="true" outlineLevel="0" collapsed="false">
      <c r="A6" s="29" t="n">
        <v>5</v>
      </c>
      <c r="B6" s="30" t="n">
        <f aca="false">'Read Me'!$B$4+(5-1)*7</f>
        <v>46272</v>
      </c>
      <c r="C6" s="31" t="s">
        <v>112</v>
      </c>
      <c r="D6" s="31" t="s">
        <v>329</v>
      </c>
      <c r="E6" s="31" t="s">
        <v>330</v>
      </c>
      <c r="F6" s="31" t="s">
        <v>331</v>
      </c>
      <c r="G6" s="31"/>
    </row>
    <row r="7" customFormat="false" ht="61.5" hidden="false" customHeight="true" outlineLevel="0" collapsed="false">
      <c r="A7" s="29" t="n">
        <v>6</v>
      </c>
      <c r="B7" s="30" t="n">
        <f aca="false">'Read Me'!$B$4+(6-1)*7</f>
        <v>46279</v>
      </c>
      <c r="C7" s="31" t="s">
        <v>112</v>
      </c>
      <c r="D7" s="31" t="s">
        <v>332</v>
      </c>
      <c r="E7" s="31" t="s">
        <v>333</v>
      </c>
      <c r="F7" s="31" t="s">
        <v>334</v>
      </c>
      <c r="G7" s="32" t="s">
        <v>335</v>
      </c>
    </row>
    <row r="8" customFormat="false" ht="61.5" hidden="false" customHeight="true" outlineLevel="0" collapsed="false">
      <c r="A8" s="33" t="n">
        <v>7</v>
      </c>
      <c r="B8" s="34" t="n">
        <f aca="false">'Read Me'!$B$4+(7-1)*7</f>
        <v>46286</v>
      </c>
      <c r="C8" s="35" t="s">
        <v>173</v>
      </c>
      <c r="D8" s="35" t="s">
        <v>336</v>
      </c>
      <c r="E8" s="35" t="s">
        <v>337</v>
      </c>
      <c r="F8" s="35" t="s">
        <v>338</v>
      </c>
      <c r="G8" s="35"/>
    </row>
    <row r="9" customFormat="false" ht="61.5" hidden="false" customHeight="true" outlineLevel="0" collapsed="false">
      <c r="A9" s="33" t="n">
        <v>8</v>
      </c>
      <c r="B9" s="34" t="n">
        <f aca="false">'Read Me'!$B$4+(8-1)*7</f>
        <v>46293</v>
      </c>
      <c r="C9" s="35" t="s">
        <v>173</v>
      </c>
      <c r="D9" s="35" t="s">
        <v>339</v>
      </c>
      <c r="E9" s="35" t="s">
        <v>340</v>
      </c>
      <c r="F9" s="35" t="s">
        <v>341</v>
      </c>
      <c r="G9" s="35"/>
    </row>
    <row r="10" customFormat="false" ht="61.5" hidden="false" customHeight="true" outlineLevel="0" collapsed="false">
      <c r="A10" s="33" t="n">
        <v>9</v>
      </c>
      <c r="B10" s="34" t="n">
        <f aca="false">'Read Me'!$B$4+(9-1)*7</f>
        <v>46300</v>
      </c>
      <c r="C10" s="35" t="s">
        <v>173</v>
      </c>
      <c r="D10" s="35" t="s">
        <v>342</v>
      </c>
      <c r="E10" s="35" t="s">
        <v>343</v>
      </c>
      <c r="F10" s="35" t="s">
        <v>344</v>
      </c>
      <c r="G10" s="35"/>
    </row>
    <row r="11" customFormat="false" ht="61.5" hidden="false" customHeight="true" outlineLevel="0" collapsed="false">
      <c r="A11" s="33" t="n">
        <v>10</v>
      </c>
      <c r="B11" s="34" t="n">
        <f aca="false">'Read Me'!$B$4+(10-1)*7</f>
        <v>46307</v>
      </c>
      <c r="C11" s="35" t="s">
        <v>173</v>
      </c>
      <c r="D11" s="35" t="s">
        <v>345</v>
      </c>
      <c r="E11" s="35" t="s">
        <v>346</v>
      </c>
      <c r="F11" s="35" t="s">
        <v>347</v>
      </c>
      <c r="G11" s="36" t="s">
        <v>348</v>
      </c>
    </row>
    <row r="12" customFormat="false" ht="61.5" hidden="false" customHeight="true" outlineLevel="0" collapsed="false">
      <c r="A12" s="37" t="n">
        <v>11</v>
      </c>
      <c r="B12" s="38" t="n">
        <f aca="false">'Read Me'!$B$4+(11-1)*7</f>
        <v>46314</v>
      </c>
      <c r="C12" s="39" t="s">
        <v>218</v>
      </c>
      <c r="D12" s="39" t="s">
        <v>349</v>
      </c>
      <c r="E12" s="39" t="s">
        <v>350</v>
      </c>
      <c r="F12" s="39" t="s">
        <v>351</v>
      </c>
      <c r="G12" s="39"/>
    </row>
    <row r="13" customFormat="false" ht="61.5" hidden="false" customHeight="true" outlineLevel="0" collapsed="false">
      <c r="A13" s="37" t="n">
        <v>12</v>
      </c>
      <c r="B13" s="38" t="n">
        <f aca="false">'Read Me'!$B$4+(12-1)*7</f>
        <v>46321</v>
      </c>
      <c r="C13" s="39" t="s">
        <v>218</v>
      </c>
      <c r="D13" s="39" t="s">
        <v>352</v>
      </c>
      <c r="E13" s="39" t="s">
        <v>353</v>
      </c>
      <c r="F13" s="39" t="s">
        <v>354</v>
      </c>
      <c r="G13" s="39"/>
    </row>
    <row r="14" customFormat="false" ht="61.5" hidden="false" customHeight="true" outlineLevel="0" collapsed="false">
      <c r="A14" s="37" t="n">
        <v>13</v>
      </c>
      <c r="B14" s="38" t="n">
        <f aca="false">'Read Me'!$B$4+(13-1)*7</f>
        <v>46328</v>
      </c>
      <c r="C14" s="39" t="s">
        <v>218</v>
      </c>
      <c r="D14" s="39" t="s">
        <v>355</v>
      </c>
      <c r="E14" s="39" t="s">
        <v>356</v>
      </c>
      <c r="F14" s="39" t="s">
        <v>357</v>
      </c>
      <c r="G14" s="40" t="s">
        <v>358</v>
      </c>
    </row>
    <row r="15" customFormat="false" ht="61.5" hidden="false" customHeight="true" outlineLevel="0" collapsed="false">
      <c r="A15" s="41" t="n">
        <v>14</v>
      </c>
      <c r="B15" s="42" t="n">
        <f aca="false">'Read Me'!$B$4+(14-1)*7</f>
        <v>46335</v>
      </c>
      <c r="C15" s="43" t="s">
        <v>271</v>
      </c>
      <c r="D15" s="43" t="s">
        <v>359</v>
      </c>
      <c r="E15" s="43" t="s">
        <v>360</v>
      </c>
      <c r="F15" s="43" t="s">
        <v>361</v>
      </c>
      <c r="G15" s="44" t="s">
        <v>362</v>
      </c>
    </row>
    <row r="16" customFormat="false" ht="61.5" hidden="false" customHeight="true" outlineLevel="0" collapsed="false">
      <c r="A16" s="45" t="n">
        <v>15</v>
      </c>
      <c r="B16" s="46" t="n">
        <f aca="false">'Read Me'!$B$4+(15-1)*7</f>
        <v>46342</v>
      </c>
      <c r="C16" s="47" t="s">
        <v>294</v>
      </c>
      <c r="D16" s="47" t="s">
        <v>363</v>
      </c>
      <c r="E16" s="47" t="s">
        <v>364</v>
      </c>
      <c r="F16" s="47" t="s">
        <v>365</v>
      </c>
      <c r="G16" s="48" t="s">
        <v>366</v>
      </c>
    </row>
    <row r="17" customFormat="false" ht="61.5" hidden="false" customHeight="true" outlineLevel="0" collapsed="false">
      <c r="A17" s="49" t="n">
        <v>16</v>
      </c>
      <c r="B17" s="50" t="n">
        <f aca="false">'Read Me'!$B$4+(16-1)*7</f>
        <v>46349</v>
      </c>
      <c r="C17" s="51" t="s">
        <v>309</v>
      </c>
      <c r="D17" s="51" t="s">
        <v>367</v>
      </c>
      <c r="E17" s="51" t="s">
        <v>368</v>
      </c>
      <c r="F17" s="51" t="s">
        <v>369</v>
      </c>
      <c r="G17" s="52" t="s">
        <v>370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66"/>
    <col collapsed="false" customWidth="true" hidden="false" outlineLevel="0" max="6" min="6" style="0" width="4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3"/>
  </cols>
  <sheetData>
    <row r="1" customFormat="false" ht="15" hidden="false" customHeight="false" outlineLevel="0" collapsed="false">
      <c r="A1" s="53" t="s">
        <v>315</v>
      </c>
      <c r="B1" s="53" t="s">
        <v>42</v>
      </c>
      <c r="C1" s="53" t="s">
        <v>371</v>
      </c>
      <c r="D1" s="53" t="s">
        <v>49</v>
      </c>
      <c r="E1" s="53" t="s">
        <v>372</v>
      </c>
      <c r="F1" s="53" t="s">
        <v>373</v>
      </c>
      <c r="G1" s="53" t="s">
        <v>48</v>
      </c>
      <c r="H1" s="53" t="s">
        <v>374</v>
      </c>
      <c r="I1" s="53" t="s">
        <v>375</v>
      </c>
    </row>
    <row r="2" customFormat="false" ht="73.5" hidden="false" customHeight="true" outlineLevel="0" collapsed="false">
      <c r="A2" s="54" t="s">
        <v>376</v>
      </c>
      <c r="B2" s="17" t="n">
        <v>2</v>
      </c>
      <c r="C2" s="19" t="s">
        <v>377</v>
      </c>
      <c r="D2" s="19" t="s">
        <v>15</v>
      </c>
      <c r="E2" s="19" t="s">
        <v>378</v>
      </c>
      <c r="F2" s="55" t="s">
        <v>379</v>
      </c>
      <c r="G2" s="20" t="s">
        <v>380</v>
      </c>
      <c r="H2" s="56"/>
      <c r="I2" s="56"/>
    </row>
    <row r="3" customFormat="false" ht="73.5" hidden="false" customHeight="true" outlineLevel="0" collapsed="false">
      <c r="A3" s="54" t="s">
        <v>381</v>
      </c>
      <c r="B3" s="17" t="n">
        <v>6</v>
      </c>
      <c r="C3" s="19" t="s">
        <v>382</v>
      </c>
      <c r="D3" s="19" t="s">
        <v>383</v>
      </c>
      <c r="E3" s="19" t="s">
        <v>384</v>
      </c>
      <c r="F3" s="19"/>
      <c r="G3" s="20" t="s">
        <v>380</v>
      </c>
      <c r="H3" s="56"/>
      <c r="I3" s="56"/>
    </row>
    <row r="4" customFormat="false" ht="73.5" hidden="false" customHeight="true" outlineLevel="0" collapsed="false">
      <c r="A4" s="54" t="s">
        <v>385</v>
      </c>
      <c r="B4" s="17" t="n">
        <v>10</v>
      </c>
      <c r="C4" s="19" t="s">
        <v>386</v>
      </c>
      <c r="D4" s="19" t="s">
        <v>15</v>
      </c>
      <c r="E4" s="19" t="s">
        <v>387</v>
      </c>
      <c r="F4" s="55" t="s">
        <v>388</v>
      </c>
      <c r="G4" s="20" t="s">
        <v>380</v>
      </c>
      <c r="H4" s="56"/>
      <c r="I4" s="56"/>
    </row>
    <row r="5" customFormat="false" ht="73.5" hidden="false" customHeight="true" outlineLevel="0" collapsed="false">
      <c r="A5" s="54" t="s">
        <v>389</v>
      </c>
      <c r="B5" s="17" t="n">
        <v>13</v>
      </c>
      <c r="C5" s="19" t="s">
        <v>390</v>
      </c>
      <c r="D5" s="19" t="s">
        <v>17</v>
      </c>
      <c r="E5" s="19" t="s">
        <v>391</v>
      </c>
      <c r="F5" s="55" t="s">
        <v>392</v>
      </c>
      <c r="G5" s="20" t="s">
        <v>380</v>
      </c>
      <c r="H5" s="56"/>
      <c r="I5" s="56"/>
    </row>
    <row r="6" customFormat="false" ht="73.5" hidden="false" customHeight="true" outlineLevel="0" collapsed="false">
      <c r="A6" s="54" t="s">
        <v>393</v>
      </c>
      <c r="B6" s="17" t="n">
        <v>14</v>
      </c>
      <c r="C6" s="19" t="s">
        <v>394</v>
      </c>
      <c r="D6" s="19" t="s">
        <v>15</v>
      </c>
      <c r="E6" s="19" t="s">
        <v>395</v>
      </c>
      <c r="F6" s="19"/>
      <c r="G6" s="20" t="s">
        <v>380</v>
      </c>
      <c r="H6" s="56"/>
      <c r="I6" s="56"/>
    </row>
    <row r="7" customFormat="false" ht="73.5" hidden="false" customHeight="true" outlineLevel="0" collapsed="false">
      <c r="A7" s="54" t="s">
        <v>396</v>
      </c>
      <c r="B7" s="17" t="n">
        <v>15</v>
      </c>
      <c r="C7" s="19" t="s">
        <v>397</v>
      </c>
      <c r="D7" s="19" t="s">
        <v>15</v>
      </c>
      <c r="E7" s="19" t="s">
        <v>398</v>
      </c>
      <c r="F7" s="19"/>
      <c r="G7" s="20" t="s">
        <v>380</v>
      </c>
      <c r="H7" s="56"/>
      <c r="I7" s="56"/>
    </row>
    <row r="8" customFormat="false" ht="73.5" hidden="false" customHeight="true" outlineLevel="0" collapsed="false">
      <c r="A8" s="54" t="s">
        <v>399</v>
      </c>
      <c r="B8" s="17" t="n">
        <v>16</v>
      </c>
      <c r="C8" s="19" t="s">
        <v>400</v>
      </c>
      <c r="D8" s="19" t="s">
        <v>401</v>
      </c>
      <c r="E8" s="19" t="s">
        <v>402</v>
      </c>
      <c r="F8" s="19"/>
      <c r="G8" s="20" t="s">
        <v>380</v>
      </c>
      <c r="H8" s="56"/>
      <c r="I8" s="56"/>
    </row>
    <row r="10" customFormat="false" ht="15" hidden="false" customHeight="false" outlineLevel="0" collapsed="false">
      <c r="A10" s="57" t="s">
        <v>403</v>
      </c>
    </row>
  </sheetData>
  <conditionalFormatting sqref="G2:G8">
    <cfRule type="cellIs" priority="2" operator="equal" aboveAverage="0" equalAverage="0" bottom="0" percent="0" rank="0" text="" dxfId="12">
      <formula>"PASSED"</formula>
    </cfRule>
    <cfRule type="cellIs" priority="3" operator="equal" aboveAverage="0" equalAverage="0" bottom="0" percent="0" rank="0" text="" dxfId="14">
      <formula>"FAILED"</formula>
    </cfRule>
  </conditionalFormatting>
  <dataValidations count="1">
    <dataValidation allowBlank="false" errorStyle="stop" operator="between" showDropDown="false" showErrorMessage="false" showInputMessage="false" sqref="G2:G8" type="list">
      <formula1>"Not Reached,In Test,FAILED,PASSED"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0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52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58" t="s">
        <v>41</v>
      </c>
      <c r="B1" s="58" t="s">
        <v>404</v>
      </c>
      <c r="C1" s="58" t="s">
        <v>49</v>
      </c>
      <c r="D1" s="58" t="s">
        <v>405</v>
      </c>
      <c r="E1" s="58" t="s">
        <v>406</v>
      </c>
      <c r="F1" s="58" t="s">
        <v>407</v>
      </c>
      <c r="G1" s="58" t="s">
        <v>48</v>
      </c>
    </row>
    <row r="2" customFormat="false" ht="49.5" hidden="false" customHeight="true" outlineLevel="0" collapsed="false">
      <c r="A2" s="59" t="s">
        <v>408</v>
      </c>
      <c r="B2" s="19" t="s">
        <v>409</v>
      </c>
      <c r="C2" s="19" t="s">
        <v>15</v>
      </c>
      <c r="D2" s="19" t="s">
        <v>410</v>
      </c>
      <c r="E2" s="17" t="n">
        <v>1</v>
      </c>
      <c r="F2" s="19" t="s">
        <v>411</v>
      </c>
      <c r="G2" s="20" t="s">
        <v>7</v>
      </c>
    </row>
    <row r="3" customFormat="false" ht="49.5" hidden="false" customHeight="true" outlineLevel="0" collapsed="false">
      <c r="A3" s="59" t="s">
        <v>412</v>
      </c>
      <c r="B3" s="19" t="s">
        <v>413</v>
      </c>
      <c r="C3" s="19" t="s">
        <v>15</v>
      </c>
      <c r="D3" s="19" t="s">
        <v>16</v>
      </c>
      <c r="E3" s="17" t="n">
        <v>2</v>
      </c>
      <c r="F3" s="19" t="s">
        <v>414</v>
      </c>
      <c r="G3" s="20" t="s">
        <v>7</v>
      </c>
    </row>
    <row r="4" customFormat="false" ht="49.5" hidden="false" customHeight="true" outlineLevel="0" collapsed="false">
      <c r="A4" s="59" t="s">
        <v>415</v>
      </c>
      <c r="B4" s="19" t="s">
        <v>416</v>
      </c>
      <c r="C4" s="19" t="s">
        <v>15</v>
      </c>
      <c r="D4" s="19" t="s">
        <v>17</v>
      </c>
      <c r="E4" s="17" t="n">
        <v>3</v>
      </c>
      <c r="F4" s="19" t="s">
        <v>417</v>
      </c>
      <c r="G4" s="20" t="s">
        <v>7</v>
      </c>
    </row>
    <row r="5" customFormat="false" ht="49.5" hidden="false" customHeight="true" outlineLevel="0" collapsed="false">
      <c r="A5" s="59" t="s">
        <v>418</v>
      </c>
      <c r="B5" s="19" t="s">
        <v>419</v>
      </c>
      <c r="C5" s="19" t="s">
        <v>17</v>
      </c>
      <c r="D5" s="19" t="s">
        <v>420</v>
      </c>
      <c r="E5" s="17" t="n">
        <v>9</v>
      </c>
      <c r="F5" s="19" t="s">
        <v>421</v>
      </c>
      <c r="G5" s="20" t="s">
        <v>7</v>
      </c>
    </row>
    <row r="7" customFormat="false" ht="15" hidden="false" customHeight="false" outlineLevel="0" collapsed="false">
      <c r="A7" s="10" t="s">
        <v>422</v>
      </c>
    </row>
  </sheetData>
  <dataValidations count="1">
    <dataValidation allowBlank="false" errorStyle="stop" operator="between" showDropDown="false" showErrorMessage="false" showInputMessage="false" sqref="G2:G5" type="list">
      <formula1>"Not Started,In Progress,Published"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62"/>
    <col collapsed="false" customWidth="true" hidden="false" outlineLevel="0" max="4" min="4" style="0" width="44"/>
    <col collapsed="false" customWidth="true" hidden="false" outlineLevel="0" max="5" min="5" style="0" width="34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5" t="s">
        <v>41</v>
      </c>
      <c r="B1" s="15" t="s">
        <v>423</v>
      </c>
      <c r="C1" s="15" t="s">
        <v>424</v>
      </c>
      <c r="D1" s="15" t="s">
        <v>425</v>
      </c>
      <c r="E1" s="15" t="s">
        <v>426</v>
      </c>
      <c r="F1" s="15" t="s">
        <v>49</v>
      </c>
    </row>
    <row r="2" customFormat="false" ht="33.75" hidden="false" customHeight="true" outlineLevel="0" collapsed="false">
      <c r="A2" s="17" t="s">
        <v>427</v>
      </c>
      <c r="B2" s="60" t="s">
        <v>428</v>
      </c>
      <c r="C2" s="19" t="s">
        <v>429</v>
      </c>
      <c r="D2" s="19" t="s">
        <v>430</v>
      </c>
      <c r="E2" s="61" t="s">
        <v>431</v>
      </c>
      <c r="F2" s="17" t="s">
        <v>432</v>
      </c>
    </row>
    <row r="3" customFormat="false" ht="33.75" hidden="false" customHeight="true" outlineLevel="0" collapsed="false">
      <c r="A3" s="17" t="s">
        <v>433</v>
      </c>
      <c r="B3" s="60" t="s">
        <v>428</v>
      </c>
      <c r="C3" s="19" t="s">
        <v>434</v>
      </c>
      <c r="D3" s="19" t="s">
        <v>435</v>
      </c>
      <c r="E3" s="61" t="s">
        <v>436</v>
      </c>
      <c r="F3" s="17" t="s">
        <v>432</v>
      </c>
    </row>
    <row r="4" customFormat="false" ht="33.75" hidden="false" customHeight="true" outlineLevel="0" collapsed="false">
      <c r="A4" s="17" t="s">
        <v>437</v>
      </c>
      <c r="B4" s="60" t="s">
        <v>428</v>
      </c>
      <c r="C4" s="19" t="s">
        <v>438</v>
      </c>
      <c r="D4" s="19" t="s">
        <v>439</v>
      </c>
      <c r="E4" s="19" t="s">
        <v>440</v>
      </c>
      <c r="F4" s="17" t="s">
        <v>432</v>
      </c>
    </row>
    <row r="5" customFormat="false" ht="33.75" hidden="false" customHeight="true" outlineLevel="0" collapsed="false">
      <c r="A5" s="17" t="s">
        <v>441</v>
      </c>
      <c r="B5" s="60" t="s">
        <v>428</v>
      </c>
      <c r="C5" s="19" t="s">
        <v>442</v>
      </c>
      <c r="D5" s="19" t="s">
        <v>443</v>
      </c>
      <c r="E5" s="61" t="s">
        <v>444</v>
      </c>
      <c r="F5" s="17" t="s">
        <v>432</v>
      </c>
    </row>
    <row r="6" customFormat="false" ht="33.75" hidden="false" customHeight="true" outlineLevel="0" collapsed="false">
      <c r="A6" s="17" t="s">
        <v>445</v>
      </c>
      <c r="B6" s="60" t="s">
        <v>428</v>
      </c>
      <c r="C6" s="19" t="s">
        <v>446</v>
      </c>
      <c r="D6" s="19" t="s">
        <v>447</v>
      </c>
      <c r="E6" s="19" t="s">
        <v>448</v>
      </c>
      <c r="F6" s="17" t="s">
        <v>432</v>
      </c>
    </row>
    <row r="7" customFormat="false" ht="33.75" hidden="false" customHeight="true" outlineLevel="0" collapsed="false">
      <c r="A7" s="17" t="s">
        <v>449</v>
      </c>
      <c r="B7" s="60" t="s">
        <v>428</v>
      </c>
      <c r="C7" s="19" t="s">
        <v>450</v>
      </c>
      <c r="D7" s="19" t="s">
        <v>451</v>
      </c>
      <c r="E7" s="19" t="s">
        <v>452</v>
      </c>
      <c r="F7" s="17" t="s">
        <v>432</v>
      </c>
    </row>
    <row r="8" customFormat="false" ht="33.75" hidden="false" customHeight="true" outlineLevel="0" collapsed="false">
      <c r="A8" s="17" t="s">
        <v>453</v>
      </c>
      <c r="B8" s="60" t="s">
        <v>428</v>
      </c>
      <c r="C8" s="19" t="s">
        <v>454</v>
      </c>
      <c r="D8" s="19" t="s">
        <v>455</v>
      </c>
      <c r="E8" s="19" t="s">
        <v>456</v>
      </c>
      <c r="F8" s="17" t="s">
        <v>432</v>
      </c>
    </row>
    <row r="9" customFormat="false" ht="33.75" hidden="false" customHeight="true" outlineLevel="0" collapsed="false">
      <c r="A9" s="17" t="s">
        <v>457</v>
      </c>
      <c r="B9" s="62" t="s">
        <v>458</v>
      </c>
      <c r="C9" s="19" t="s">
        <v>459</v>
      </c>
      <c r="D9" s="19" t="s">
        <v>460</v>
      </c>
      <c r="E9" s="19"/>
      <c r="F9" s="17" t="s">
        <v>56</v>
      </c>
    </row>
    <row r="10" customFormat="false" ht="33.75" hidden="false" customHeight="true" outlineLevel="0" collapsed="false">
      <c r="A10" s="17" t="s">
        <v>461</v>
      </c>
      <c r="B10" s="62" t="s">
        <v>458</v>
      </c>
      <c r="C10" s="19" t="s">
        <v>462</v>
      </c>
      <c r="D10" s="19" t="s">
        <v>463</v>
      </c>
      <c r="E10" s="19"/>
      <c r="F10" s="17" t="s">
        <v>56</v>
      </c>
    </row>
    <row r="11" customFormat="false" ht="33.75" hidden="false" customHeight="true" outlineLevel="0" collapsed="false">
      <c r="A11" s="17" t="s">
        <v>464</v>
      </c>
      <c r="B11" s="62" t="s">
        <v>458</v>
      </c>
      <c r="C11" s="19" t="s">
        <v>465</v>
      </c>
      <c r="D11" s="19"/>
      <c r="E11" s="19"/>
      <c r="F11" s="17" t="s">
        <v>56</v>
      </c>
    </row>
    <row r="12" customFormat="false" ht="33.75" hidden="false" customHeight="true" outlineLevel="0" collapsed="false">
      <c r="A12" s="17" t="s">
        <v>466</v>
      </c>
      <c r="B12" s="62" t="s">
        <v>458</v>
      </c>
      <c r="C12" s="19" t="s">
        <v>467</v>
      </c>
      <c r="D12" s="19" t="s">
        <v>468</v>
      </c>
      <c r="E12" s="19"/>
      <c r="F12" s="17" t="s">
        <v>56</v>
      </c>
    </row>
    <row r="13" customFormat="false" ht="33.75" hidden="false" customHeight="true" outlineLevel="0" collapsed="false">
      <c r="A13" s="17" t="s">
        <v>469</v>
      </c>
      <c r="B13" s="62" t="s">
        <v>458</v>
      </c>
      <c r="C13" s="19" t="s">
        <v>470</v>
      </c>
      <c r="D13" s="19" t="s">
        <v>471</v>
      </c>
      <c r="E13" s="19"/>
      <c r="F13" s="17" t="s">
        <v>56</v>
      </c>
    </row>
    <row r="14" customFormat="false" ht="33.75" hidden="false" customHeight="true" outlineLevel="0" collapsed="false">
      <c r="A14" s="17" t="s">
        <v>472</v>
      </c>
      <c r="B14" s="62" t="s">
        <v>458</v>
      </c>
      <c r="C14" s="19" t="s">
        <v>473</v>
      </c>
      <c r="D14" s="19"/>
      <c r="E14" s="19"/>
      <c r="F14" s="17" t="s">
        <v>56</v>
      </c>
    </row>
    <row r="15" customFormat="false" ht="33.75" hidden="false" customHeight="true" outlineLevel="0" collapsed="false">
      <c r="A15" s="17" t="s">
        <v>474</v>
      </c>
      <c r="B15" s="62" t="s">
        <v>458</v>
      </c>
      <c r="C15" s="19" t="s">
        <v>475</v>
      </c>
      <c r="D15" s="19" t="s">
        <v>476</v>
      </c>
      <c r="E15" s="19"/>
      <c r="F15" s="17" t="s">
        <v>56</v>
      </c>
    </row>
    <row r="16" customFormat="false" ht="33.75" hidden="false" customHeight="true" outlineLevel="0" collapsed="false">
      <c r="A16" s="17" t="s">
        <v>477</v>
      </c>
      <c r="B16" s="62" t="s">
        <v>458</v>
      </c>
      <c r="C16" s="19" t="s">
        <v>478</v>
      </c>
      <c r="D16" s="19"/>
      <c r="E16" s="19"/>
      <c r="F16" s="17" t="s">
        <v>56</v>
      </c>
    </row>
    <row r="17" customFormat="false" ht="33.75" hidden="false" customHeight="true" outlineLevel="0" collapsed="false">
      <c r="A17" s="17" t="s">
        <v>479</v>
      </c>
      <c r="B17" s="62" t="s">
        <v>458</v>
      </c>
      <c r="C17" s="19" t="s">
        <v>480</v>
      </c>
      <c r="D17" s="19" t="s">
        <v>481</v>
      </c>
      <c r="E17" s="19"/>
      <c r="F17" s="17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4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58"/>
    <col collapsed="false" customWidth="true" hidden="false" outlineLevel="0" max="6" min="6" style="0" width="13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53" t="s">
        <v>482</v>
      </c>
      <c r="B1" s="53" t="s">
        <v>483</v>
      </c>
      <c r="C1" s="53" t="s">
        <v>484</v>
      </c>
      <c r="D1" s="53" t="s">
        <v>485</v>
      </c>
      <c r="E1" s="53" t="s">
        <v>486</v>
      </c>
      <c r="F1" s="53" t="s">
        <v>49</v>
      </c>
      <c r="G1" s="53" t="s">
        <v>487</v>
      </c>
    </row>
    <row r="2" customFormat="false" ht="42" hidden="false" customHeight="true" outlineLevel="0" collapsed="false">
      <c r="A2" s="17" t="n">
        <v>1</v>
      </c>
      <c r="B2" s="19" t="s">
        <v>488</v>
      </c>
      <c r="C2" s="60" t="s">
        <v>489</v>
      </c>
      <c r="D2" s="60" t="s">
        <v>489</v>
      </c>
      <c r="E2" s="19" t="s">
        <v>490</v>
      </c>
      <c r="F2" s="17" t="s">
        <v>432</v>
      </c>
      <c r="G2" s="19" t="s">
        <v>491</v>
      </c>
    </row>
    <row r="3" customFormat="false" ht="42" hidden="false" customHeight="true" outlineLevel="0" collapsed="false">
      <c r="A3" s="17" t="n">
        <v>2</v>
      </c>
      <c r="B3" s="19" t="s">
        <v>492</v>
      </c>
      <c r="C3" s="60" t="s">
        <v>489</v>
      </c>
      <c r="D3" s="60" t="s">
        <v>489</v>
      </c>
      <c r="E3" s="19" t="s">
        <v>493</v>
      </c>
      <c r="F3" s="17" t="s">
        <v>432</v>
      </c>
      <c r="G3" s="19" t="s">
        <v>494</v>
      </c>
    </row>
    <row r="4" customFormat="false" ht="42" hidden="false" customHeight="true" outlineLevel="0" collapsed="false">
      <c r="A4" s="17" t="n">
        <v>3</v>
      </c>
      <c r="B4" s="19" t="s">
        <v>495</v>
      </c>
      <c r="C4" s="60" t="s">
        <v>489</v>
      </c>
      <c r="D4" s="60" t="s">
        <v>489</v>
      </c>
      <c r="E4" s="19" t="s">
        <v>496</v>
      </c>
      <c r="F4" s="17" t="s">
        <v>432</v>
      </c>
      <c r="G4" s="19" t="s">
        <v>497</v>
      </c>
    </row>
    <row r="5" customFormat="false" ht="42" hidden="false" customHeight="true" outlineLevel="0" collapsed="false">
      <c r="A5" s="17" t="n">
        <v>4</v>
      </c>
      <c r="B5" s="19" t="s">
        <v>498</v>
      </c>
      <c r="C5" s="63" t="s">
        <v>499</v>
      </c>
      <c r="D5" s="60" t="s">
        <v>489</v>
      </c>
      <c r="E5" s="19" t="s">
        <v>500</v>
      </c>
      <c r="F5" s="17" t="s">
        <v>15</v>
      </c>
      <c r="G5" s="19" t="s">
        <v>501</v>
      </c>
    </row>
    <row r="6" customFormat="false" ht="42" hidden="false" customHeight="true" outlineLevel="0" collapsed="false">
      <c r="A6" s="17" t="n">
        <v>5</v>
      </c>
      <c r="B6" s="19" t="s">
        <v>502</v>
      </c>
      <c r="C6" s="60" t="s">
        <v>489</v>
      </c>
      <c r="D6" s="63" t="s">
        <v>499</v>
      </c>
      <c r="E6" s="19" t="s">
        <v>503</v>
      </c>
      <c r="F6" s="17" t="s">
        <v>432</v>
      </c>
      <c r="G6" s="19" t="s">
        <v>504</v>
      </c>
    </row>
    <row r="7" customFormat="false" ht="42" hidden="false" customHeight="true" outlineLevel="0" collapsed="false">
      <c r="A7" s="17" t="n">
        <v>6</v>
      </c>
      <c r="B7" s="19" t="s">
        <v>505</v>
      </c>
      <c r="C7" s="63" t="s">
        <v>499</v>
      </c>
      <c r="D7" s="60" t="s">
        <v>489</v>
      </c>
      <c r="E7" s="19" t="s">
        <v>506</v>
      </c>
      <c r="F7" s="17" t="s">
        <v>15</v>
      </c>
      <c r="G7" s="19" t="s">
        <v>507</v>
      </c>
    </row>
    <row r="8" customFormat="false" ht="42" hidden="false" customHeight="true" outlineLevel="0" collapsed="false">
      <c r="A8" s="17" t="n">
        <v>7</v>
      </c>
      <c r="B8" s="19" t="s">
        <v>508</v>
      </c>
      <c r="C8" s="63" t="s">
        <v>499</v>
      </c>
      <c r="D8" s="60" t="s">
        <v>489</v>
      </c>
      <c r="E8" s="19" t="s">
        <v>509</v>
      </c>
      <c r="F8" s="17" t="s">
        <v>15</v>
      </c>
      <c r="G8" s="19" t="s">
        <v>510</v>
      </c>
    </row>
    <row r="9" customFormat="false" ht="42" hidden="false" customHeight="true" outlineLevel="0" collapsed="false">
      <c r="A9" s="17" t="n">
        <v>8</v>
      </c>
      <c r="B9" s="19" t="s">
        <v>511</v>
      </c>
      <c r="C9" s="63" t="s">
        <v>499</v>
      </c>
      <c r="D9" s="60" t="s">
        <v>489</v>
      </c>
      <c r="E9" s="19" t="s">
        <v>512</v>
      </c>
      <c r="F9" s="17" t="s">
        <v>17</v>
      </c>
      <c r="G9" s="19" t="s">
        <v>513</v>
      </c>
    </row>
    <row r="10" customFormat="false" ht="42" hidden="false" customHeight="true" outlineLevel="0" collapsed="false">
      <c r="A10" s="17" t="n">
        <v>9</v>
      </c>
      <c r="B10" s="19" t="s">
        <v>514</v>
      </c>
      <c r="C10" s="63" t="s">
        <v>499</v>
      </c>
      <c r="D10" s="60" t="s">
        <v>515</v>
      </c>
      <c r="E10" s="19" t="s">
        <v>516</v>
      </c>
      <c r="F10" s="17" t="s">
        <v>15</v>
      </c>
      <c r="G10" s="19" t="s">
        <v>517</v>
      </c>
    </row>
    <row r="11" customFormat="false" ht="42" hidden="false" customHeight="true" outlineLevel="0" collapsed="false">
      <c r="A11" s="17" t="n">
        <v>10</v>
      </c>
      <c r="B11" s="19" t="s">
        <v>518</v>
      </c>
      <c r="C11" s="60" t="s">
        <v>489</v>
      </c>
      <c r="D11" s="60" t="s">
        <v>489</v>
      </c>
      <c r="E11" s="19" t="s">
        <v>519</v>
      </c>
      <c r="F11" s="17" t="s">
        <v>17</v>
      </c>
      <c r="G11" s="19" t="s">
        <v>520</v>
      </c>
    </row>
    <row r="12" customFormat="false" ht="42" hidden="false" customHeight="true" outlineLevel="0" collapsed="false">
      <c r="A12" s="17" t="n">
        <v>11</v>
      </c>
      <c r="B12" s="19" t="s">
        <v>521</v>
      </c>
      <c r="C12" s="60" t="s">
        <v>489</v>
      </c>
      <c r="D12" s="60" t="s">
        <v>489</v>
      </c>
      <c r="E12" s="19" t="s">
        <v>522</v>
      </c>
      <c r="F12" s="17" t="s">
        <v>432</v>
      </c>
      <c r="G12" s="19" t="s">
        <v>523</v>
      </c>
    </row>
    <row r="13" customFormat="false" ht="42" hidden="false" customHeight="true" outlineLevel="0" collapsed="false">
      <c r="A13" s="17" t="n">
        <v>12</v>
      </c>
      <c r="B13" s="19" t="s">
        <v>524</v>
      </c>
      <c r="C13" s="60" t="s">
        <v>489</v>
      </c>
      <c r="D13" s="63" t="s">
        <v>499</v>
      </c>
      <c r="E13" s="19" t="s">
        <v>525</v>
      </c>
      <c r="F13" s="17" t="s">
        <v>401</v>
      </c>
      <c r="G13" s="19" t="s">
        <v>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6"/>
    <col collapsed="false" customWidth="true" hidden="false" outlineLevel="0" max="3" min="3" style="0" width="52"/>
  </cols>
  <sheetData>
    <row r="1" customFormat="false" ht="19.7" hidden="false" customHeight="false" outlineLevel="0" collapsed="false">
      <c r="A1" s="1" t="s">
        <v>527</v>
      </c>
    </row>
    <row r="2" customFormat="false" ht="15" hidden="false" customHeight="false" outlineLevel="0" collapsed="false">
      <c r="A2" s="57" t="s">
        <v>528</v>
      </c>
    </row>
    <row r="4" customFormat="false" ht="15" hidden="false" customHeight="false" outlineLevel="0" collapsed="false">
      <c r="A4" s="53" t="s">
        <v>529</v>
      </c>
      <c r="B4" s="53" t="s">
        <v>530</v>
      </c>
      <c r="C4" s="53" t="s">
        <v>531</v>
      </c>
    </row>
    <row r="5" customFormat="false" ht="24" hidden="false" customHeight="true" outlineLevel="0" collapsed="false">
      <c r="A5" s="64" t="n">
        <v>1</v>
      </c>
      <c r="B5" s="19" t="s">
        <v>532</v>
      </c>
      <c r="C5" s="19" t="s">
        <v>533</v>
      </c>
    </row>
    <row r="6" customFormat="false" ht="24" hidden="false" customHeight="true" outlineLevel="0" collapsed="false">
      <c r="A6" s="64" t="n">
        <v>2</v>
      </c>
      <c r="B6" s="19" t="s">
        <v>276</v>
      </c>
      <c r="C6" s="19" t="s">
        <v>534</v>
      </c>
    </row>
    <row r="7" customFormat="false" ht="24" hidden="false" customHeight="true" outlineLevel="0" collapsed="false">
      <c r="A7" s="64" t="n">
        <v>3</v>
      </c>
      <c r="B7" s="19" t="s">
        <v>535</v>
      </c>
      <c r="C7" s="19" t="s">
        <v>536</v>
      </c>
    </row>
    <row r="8" customFormat="false" ht="24" hidden="false" customHeight="true" outlineLevel="0" collapsed="false">
      <c r="A8" s="64" t="n">
        <v>4</v>
      </c>
      <c r="B8" s="19" t="s">
        <v>537</v>
      </c>
      <c r="C8" s="19" t="s">
        <v>538</v>
      </c>
    </row>
    <row r="9" customFormat="false" ht="24" hidden="false" customHeight="true" outlineLevel="0" collapsed="false">
      <c r="A9" s="64" t="n">
        <v>5</v>
      </c>
      <c r="B9" s="19" t="s">
        <v>264</v>
      </c>
      <c r="C9" s="19" t="s">
        <v>539</v>
      </c>
    </row>
    <row r="10" customFormat="false" ht="24" hidden="false" customHeight="true" outlineLevel="0" collapsed="false">
      <c r="A10" s="64" t="n">
        <v>6</v>
      </c>
      <c r="B10" s="19" t="s">
        <v>540</v>
      </c>
      <c r="C10" s="19" t="s">
        <v>541</v>
      </c>
    </row>
    <row r="11" customFormat="false" ht="24" hidden="false" customHeight="true" outlineLevel="0" collapsed="false">
      <c r="A11" s="64" t="n">
        <v>7</v>
      </c>
      <c r="B11" s="19" t="s">
        <v>542</v>
      </c>
      <c r="C11" s="19" t="s">
        <v>543</v>
      </c>
    </row>
    <row r="13" customFormat="false" ht="15" hidden="false" customHeight="false" outlineLevel="0" collapsed="false">
      <c r="A13" s="65" t="s">
        <v>544</v>
      </c>
    </row>
    <row r="14" customFormat="false" ht="15" hidden="false" customHeight="false" outlineLevel="0" collapsed="false">
      <c r="B14" s="8" t="s">
        <v>545</v>
      </c>
    </row>
    <row r="15" customFormat="false" ht="15" hidden="false" customHeight="false" outlineLevel="0" collapsed="false">
      <c r="B15" s="8" t="s">
        <v>546</v>
      </c>
    </row>
    <row r="16" customFormat="false" ht="15" hidden="false" customHeight="false" outlineLevel="0" collapsed="false">
      <c r="B16" s="8" t="s">
        <v>547</v>
      </c>
    </row>
    <row r="17" customFormat="false" ht="15" hidden="false" customHeight="false" outlineLevel="0" collapsed="false">
      <c r="B17" s="8" t="s">
        <v>548</v>
      </c>
    </row>
    <row r="18" customFormat="false" ht="15" hidden="false" customHeight="false" outlineLevel="0" collapsed="false">
      <c r="B18" s="8" t="s">
        <v>549</v>
      </c>
    </row>
    <row r="19" customFormat="false" ht="15" hidden="false" customHeight="false" outlineLevel="0" collapsed="false">
      <c r="B19" s="8" t="s">
        <v>550</v>
      </c>
    </row>
    <row r="20" customFormat="false" ht="15" hidden="false" customHeight="false" outlineLevel="0" collapsed="false">
      <c r="B20" s="8" t="s">
        <v>551</v>
      </c>
    </row>
    <row r="22" customFormat="false" ht="15" hidden="false" customHeight="false" outlineLevel="0" collapsed="false">
      <c r="A22" s="66" t="s">
        <v>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2026-08-06T06:43:34Z</dcterms:created>
  <dc:creator>openpyxl</dc:creator>
  <dc:description/>
  <dc:language>en-US</dc:language>
  <cp:lastModifiedBy/>
  <dcterms:modified xsi:type="dcterms:W3CDTF">2026-08-06T06:43:34Z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